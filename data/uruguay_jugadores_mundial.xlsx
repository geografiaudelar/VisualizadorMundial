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gadores" sheetId="1" r:id="rId5"/>
    <sheet state="visible" name="Estadios" sheetId="2" r:id="rId6"/>
    <sheet state="visible" name="goles" sheetId="3" r:id="rId7"/>
    <sheet state="visible" name="capitanes" sheetId="4" r:id="rId8"/>
    <sheet state="visible" name="Evolucion_pob" sheetId="5" r:id="rId9"/>
  </sheets>
  <definedNames>
    <definedName hidden="1" localSheetId="0" name="_xlnm._FilterDatabase">Jugadores!$A$1:$S$250</definedName>
    <definedName hidden="1" localSheetId="1" name="_xlnm._FilterDatabase">Estadios!$E$1:$E$1000</definedName>
  </definedNames>
  <calcPr/>
</workbook>
</file>

<file path=xl/sharedStrings.xml><?xml version="1.0" encoding="utf-8"?>
<sst xmlns="http://schemas.openxmlformats.org/spreadsheetml/2006/main" count="3386" uniqueCount="1321">
  <si>
    <t>nombre</t>
  </si>
  <si>
    <t>posicion</t>
  </si>
  <si>
    <t>cant_mundiales</t>
  </si>
  <si>
    <t>lista_mundiales</t>
  </si>
  <si>
    <t>capitan</t>
  </si>
  <si>
    <t>goles</t>
  </si>
  <si>
    <t>clubes_en_mundiales</t>
  </si>
  <si>
    <t>paises_clubes</t>
  </si>
  <si>
    <t>fecha_nacimiento</t>
  </si>
  <si>
    <t>fecha_iso</t>
  </si>
  <si>
    <t>lugar_nacimiento</t>
  </si>
  <si>
    <t>depto</t>
  </si>
  <si>
    <t>pais_nacimiento</t>
  </si>
  <si>
    <t>orig_latitud</t>
  </si>
  <si>
    <t>orig_longitud</t>
  </si>
  <si>
    <t>Latitud</t>
  </si>
  <si>
    <t>Longitud</t>
  </si>
  <si>
    <t>wiki_enlace</t>
  </si>
  <si>
    <t>url_imagen</t>
  </si>
  <si>
    <t>Abel Hernández</t>
  </si>
  <si>
    <t>Delantero</t>
  </si>
  <si>
    <t>UC Palermo</t>
  </si>
  <si>
    <t>Italia</t>
  </si>
  <si>
    <t>Pando</t>
  </si>
  <si>
    <t>Canelones</t>
  </si>
  <si>
    <t>Uruguay</t>
  </si>
  <si>
    <t>-34.72128</t>
  </si>
  <si>
    <t>-55.96005</t>
  </si>
  <si>
    <t>https://es.wikipedia.org/wiki/Abel_Hernández_(futbolista)</t>
  </si>
  <si>
    <r>
      <rPr>
        <rFont val="Arial"/>
        <color rgb="FF1155CC"/>
        <sz val="11.0"/>
        <u/>
      </rPr>
      <t>https://www.auf.org.uy/imagenes/img_contenido/seleccion_jugador/a/abel_hernandez_auf.jpg</t>
    </r>
  </si>
  <si>
    <t>Agustín Canobbio</t>
  </si>
  <si>
    <t>Centrocampista</t>
  </si>
  <si>
    <t>2022, 2026</t>
  </si>
  <si>
    <t>Athletico Paranaense, Fluminense</t>
  </si>
  <si>
    <t>Brasil, Brasil</t>
  </si>
  <si>
    <t>Montevideo</t>
  </si>
  <si>
    <t>-34.90550</t>
  </si>
  <si>
    <t>-56.18511</t>
  </si>
  <si>
    <t>https://es.wikipedia.org/wiki/Agustín_Canobbio</t>
  </si>
  <si>
    <t>https://www.auf.org.uy/imagenes/img_contenido/seleccion_jugador/a/canobbio-agustin-ct.jpg</t>
  </si>
  <si>
    <t>Alberto Cardaccio</t>
  </si>
  <si>
    <t>Danubio</t>
  </si>
  <si>
    <t>9/26/1949</t>
  </si>
  <si>
    <t>https://es.wikipedia.org/wiki/Alberto_Cardaccio</t>
  </si>
  <si>
    <r>
      <rPr>
        <rFont val="Arial"/>
        <color rgb="FF1155CC"/>
        <sz val="11.0"/>
        <u/>
      </rPr>
      <t>https://www.auf.org.uy/imagenes/img_contenido/seleccion_jugador/a/alberto_cardaccio_.jpg</t>
    </r>
  </si>
  <si>
    <t>Alberto Gómez</t>
  </si>
  <si>
    <t>Defensa</t>
  </si>
  <si>
    <t>Liverpool</t>
  </si>
  <si>
    <t>Paysandú</t>
  </si>
  <si>
    <t>-32.31683</t>
  </si>
  <si>
    <t>-58.08005</t>
  </si>
  <si>
    <t>https://es.wikipedia.org/wiki/Alberto_Gómez_(futbolista)</t>
  </si>
  <si>
    <t>https://www.auf.org.uy/imagenes/img_contenido/seleccion_jugador/a/alberto_gomez_.jpg</t>
  </si>
  <si>
    <t>Alcides Ghiggia</t>
  </si>
  <si>
    <t>Peñarol</t>
  </si>
  <si>
    <t>12/22/1926</t>
  </si>
  <si>
    <t>https://es.wikipedia.org/wiki/Alcides_Ghiggia</t>
  </si>
  <si>
    <t>https://www.auf.org.uy/imagenes/img_contenido/seleccion_jugador/a/alcides_ghiggia_.jpg</t>
  </si>
  <si>
    <t>Alejandro Lembo</t>
  </si>
  <si>
    <t>Nacional</t>
  </si>
  <si>
    <t>2/15/1978</t>
  </si>
  <si>
    <t>https://es.wikipedia.org/wiki/Alejandro_Lembo</t>
  </si>
  <si>
    <t>https://www.auf.org.uy/imagenes/img_contenido/seleccion_jugador/a/alejandro_lembo_gettyimages.jpg</t>
  </si>
  <si>
    <t>Alfonso Domínguez</t>
  </si>
  <si>
    <t>9/24/1965</t>
  </si>
  <si>
    <t>Durazno</t>
  </si>
  <si>
    <t>-33.37896</t>
  </si>
  <si>
    <t>-56.52452</t>
  </si>
  <si>
    <t>https://es.wikipedia.org/wiki/Alfonso_Enrique_Domínguez</t>
  </si>
  <si>
    <t>https://www.auf.org.uy/imagenes/img_contenido/seleccion_jugador/a/alfonso_dominguez_un.jpg</t>
  </si>
  <si>
    <t>Álvaro Fernández</t>
  </si>
  <si>
    <t>Universidad de Chile</t>
  </si>
  <si>
    <t>Chile</t>
  </si>
  <si>
    <t>Agraciada</t>
  </si>
  <si>
    <t>Colonia</t>
  </si>
  <si>
    <t>-33.80993</t>
  </si>
  <si>
    <t>-58.26809</t>
  </si>
  <si>
    <t>https://es.wikipedia.org/wiki/Álvaro_Fernández_(futbolista_uruguayo)</t>
  </si>
  <si>
    <t>https://upload.wikimedia.org/wikipedia/commons/thumb/2/25/Alvaro_Fernandez_Sounders-1.jpg/330px-Alvaro_Fernandez_Sounders-1.jpg</t>
  </si>
  <si>
    <t>Álvaro Gestido</t>
  </si>
  <si>
    <t>5/17/1907</t>
  </si>
  <si>
    <t>https://es.wikipedia.org/wiki/Álvaro_Gestido</t>
  </si>
  <si>
    <t>https://www.auf.org.uy/imagenes/img_contenido/seleccion_jugador/a/alvaro_gestido_.jpg</t>
  </si>
  <si>
    <t>Álvaro González</t>
  </si>
  <si>
    <t>Lazio</t>
  </si>
  <si>
    <t>10/29/1984</t>
  </si>
  <si>
    <t>https://es.wikipedia.org/wiki/Álvaro_Rafael_González</t>
  </si>
  <si>
    <t>https://upload.wikimedia.org/wikipedia/commons/thumb/e/e3/%C3%81lvaro_Rafael_Gonz%C3%A1lez.jpg/250px-%C3%81lvaro_Rafael_Gonz%C3%A1lez.jpg</t>
  </si>
  <si>
    <t>Álvaro Pereira</t>
  </si>
  <si>
    <t>2010, 2014</t>
  </si>
  <si>
    <t>Porto, São Paulo</t>
  </si>
  <si>
    <t>Portugal, Brasil</t>
  </si>
  <si>
    <t>11/28/1985</t>
  </si>
  <si>
    <t>https://es.wikipedia.org/wiki/Álvaro_Pereira</t>
  </si>
  <si>
    <t>https://upload.wikimedia.org/wikipedia/commons/thumb/2/29/U06_%C3%81lvaro_Pereira_3372.jpg/250px-U06_%C3%81lvaro_Pereira_3372.jpg</t>
  </si>
  <si>
    <t>Álvaro Recoba</t>
  </si>
  <si>
    <t>Inter de Milán</t>
  </si>
  <si>
    <t>Francia</t>
  </si>
  <si>
    <t>3/17/1976</t>
  </si>
  <si>
    <t>https://es.wikipedia.org/wiki/Álvaro_Recoba</t>
  </si>
  <si>
    <t>https://upload.wikimedia.org/wikipedia/commons/thumb/7/75/%C3%81lvaro_Chino_Recoba_120520-1175-jikatu_%28cropped%29.jpg/330px-%C3%81lvaro_Chino_Recoba_120520-1175-jikatu_%28cropped%29.jpg</t>
  </si>
  <si>
    <t>Andrés Scotti</t>
  </si>
  <si>
    <t>Colo-Colo</t>
  </si>
  <si>
    <t>12/14/1975</t>
  </si>
  <si>
    <t>https://es.wikipedia.org/wiki/Andrés_Scotti</t>
  </si>
  <si>
    <t>https://www.auf.org.uy/imagenes/img_contenido/seleccion_jugador/a/andres_scotti_gettyimages.jpg</t>
  </si>
  <si>
    <t>Ángel Cabrera</t>
  </si>
  <si>
    <t>Mercedes</t>
  </si>
  <si>
    <t>Soriano</t>
  </si>
  <si>
    <t>-33.24863</t>
  </si>
  <si>
    <t>-58.01876</t>
  </si>
  <si>
    <t>https://es.wikipedia.org/wiki/Ángel_Rubén_Cabrera</t>
  </si>
  <si>
    <t>https://www.auf.org.uy/imagenes/img_contenido/seleccion_jugador/a/angel_ruben_cabrera_.jpg</t>
  </si>
  <si>
    <t>Carlos Riolfo</t>
  </si>
  <si>
    <t>https://es.wikipedia.org/wiki/Carlos_Riolfo</t>
  </si>
  <si>
    <t>https://www.auf.org.uy/imagenes/img_contenido/seleccion_jugador/a/carlos_riolfo_2.jpg</t>
  </si>
  <si>
    <t>Aníbal Paz</t>
  </si>
  <si>
    <t>Guardameta</t>
  </si>
  <si>
    <t>5/21/1917</t>
  </si>
  <si>
    <t>https://es.wikipedia.org/wiki/Aníbal_Paz</t>
  </si>
  <si>
    <t>https://www.auf.org.uy/imagenes/img_contenido/seleccion_jugador/a/anibal_paz_.jpg</t>
  </si>
  <si>
    <t>Antonio Alzamendi</t>
  </si>
  <si>
    <t>1986, 1990</t>
  </si>
  <si>
    <t>River Plate, Logroñés</t>
  </si>
  <si>
    <t>Argentina, España</t>
  </si>
  <si>
    <t>https://es.wikipedia.org/wiki/Antonio_Alzamendi</t>
  </si>
  <si>
    <t>https://www.auf.org.uy/imagenes/img_contenido/seleccion_jugador/a/antonio_alzamendi_un.jpg</t>
  </si>
  <si>
    <t>Atilio Ancheta</t>
  </si>
  <si>
    <t>7/19/1948</t>
  </si>
  <si>
    <t>Florida</t>
  </si>
  <si>
    <t>-34.09446</t>
  </si>
  <si>
    <t>-56.21859</t>
  </si>
  <si>
    <t>https://es.wikipedia.org/wiki/Atilio_Ancheta</t>
  </si>
  <si>
    <t>https://www.auf.org.uy/imagenes/img_contenido/seleccion_jugador/a/atilio_ancheta_.jpg</t>
  </si>
  <si>
    <t>Baudilio Jáuregui</t>
  </si>
  <si>
    <t>River Plate</t>
  </si>
  <si>
    <t>Argentina</t>
  </si>
  <si>
    <t>https://es.wikipedia.org/wiki/Baudilio_Jáuregui</t>
  </si>
  <si>
    <t>https://www.auf.org.uy/imagenes/img_contenido/seleccion_jugador/a/baudilio_jauregui_anefo.jpg</t>
  </si>
  <si>
    <t>Brian Rodríguez</t>
  </si>
  <si>
    <t>América</t>
  </si>
  <si>
    <t>México</t>
  </si>
  <si>
    <t>5/20/2000</t>
  </si>
  <si>
    <t>Tranqueras</t>
  </si>
  <si>
    <t>Rivera</t>
  </si>
  <si>
    <t>-31.1908</t>
  </si>
  <si>
    <t>-55.76601</t>
  </si>
  <si>
    <t>https://es.wikipedia.org/wiki/Brian_Rodr%C3%ADguez</t>
  </si>
  <si>
    <t>https://www.auf.org.uy/imagenes/img_contenido/seleccion_jugador/a/rodriguez-brian-ct.jpg</t>
  </si>
  <si>
    <t>Carlos Aguilera</t>
  </si>
  <si>
    <t>Nacional, Genoa</t>
  </si>
  <si>
    <t>Uruguay, Italia</t>
  </si>
  <si>
    <t>9/21/1964</t>
  </si>
  <si>
    <t>https://es.wikipedia.org/wiki/Carlos_Alberto_Aguilera</t>
  </si>
  <si>
    <t>https://www.auf.org.uy/imagenes/img_contenido/seleccion_jugador/a/aguileracarlos.jpg</t>
  </si>
  <si>
    <t>Carlos Borges</t>
  </si>
  <si>
    <t>1/14/1932</t>
  </si>
  <si>
    <t>https://es.wikipedia.org/wiki/Carlos_Borges</t>
  </si>
  <si>
    <t>https://www.auf.org.uy/imagenes/img_contenido/seleccion_jugador/a/carlos_borges_.jpg</t>
  </si>
  <si>
    <t>Conduelo Píriz</t>
  </si>
  <si>
    <t>https://es.wikipedia.org/wiki/Conduelo_Píriz</t>
  </si>
  <si>
    <t>https://www.auf.org.uy/imagenes/img_contenido/seleccion_jugador/a/conduelo_piriz_.jpg</t>
  </si>
  <si>
    <t>Carlos Romero</t>
  </si>
  <si>
    <t>https://es.wikipedia.org/wiki/Carlos_Romero_(futbolista_uruguayo)</t>
  </si>
  <si>
    <t>https://www.auf.org.uy/imagenes/img_contenido/seleccion_jugador/a/carlos_romero_2.jpg</t>
  </si>
  <si>
    <t>Carlos Sánchez</t>
  </si>
  <si>
    <t>Monterrey</t>
  </si>
  <si>
    <t>https://es.wikipedia.org/wiki/Carlos_Andrés_Sánchez</t>
  </si>
  <si>
    <r>
      <rPr>
        <rFont val="Arial"/>
        <color rgb="FF1155CC"/>
        <sz val="11.0"/>
        <u/>
      </rPr>
      <t>https://www.auf.org.uy/imagenes/img_contenido/seleccion_jugador/a/carlos_sanchez_gettyimages2.jpg</t>
    </r>
  </si>
  <si>
    <t>Celso Otero</t>
  </si>
  <si>
    <t>Montevideo Wanderers</t>
  </si>
  <si>
    <r>
      <rPr>
        <rFont val="Arial"/>
        <color rgb="FF1155CC"/>
        <sz val="11.0"/>
        <u/>
      </rPr>
      <t>https://www.auf.org.uy/celso-otero-quintas/</t>
    </r>
  </si>
  <si>
    <r>
      <rPr>
        <rFont val="Arial"/>
        <color rgb="FF1155CC"/>
        <sz val="11.0"/>
        <u/>
      </rPr>
      <t>https://www.auf.org.uy/imagenes/img_contenido/seleccion_jugador/a/celso_otero_un.jpg</t>
    </r>
  </si>
  <si>
    <t>César Vega</t>
  </si>
  <si>
    <r>
      <rPr>
        <rFont val="Arial"/>
        <color rgb="FF1155CC"/>
        <sz val="11.0"/>
        <u/>
      </rPr>
      <t>https://www.auf.org.uy/cesar-vega/</t>
    </r>
  </si>
  <si>
    <r>
      <rPr>
        <rFont val="Arial"/>
        <color rgb="FF1155CC"/>
        <sz val="11.0"/>
        <u/>
      </rPr>
      <t>https://www.auf.org.uy/imagenes/img_contenido/seleccion_jugador/a/cesar_vega_giovinatti.jpg</t>
    </r>
  </si>
  <si>
    <t>Christian Stuani</t>
  </si>
  <si>
    <t>2014, 2018</t>
  </si>
  <si>
    <t>RCD Español, Girona</t>
  </si>
  <si>
    <t>España, España</t>
  </si>
  <si>
    <t>Tala</t>
  </si>
  <si>
    <t>-34.34346</t>
  </si>
  <si>
    <t>-55.76313</t>
  </si>
  <si>
    <t>https://es.wikipedia.org/wiki/Christian_Stuani</t>
  </si>
  <si>
    <t>https://www.auf.org.uy/imagenes/img_contenido/seleccion_jugador/a/cristhian_stuani_auf.jpg</t>
  </si>
  <si>
    <t>José Leandro Andrade</t>
  </si>
  <si>
    <t>11/22/1901</t>
  </si>
  <si>
    <t>Salto</t>
  </si>
  <si>
    <t>-31.38794</t>
  </si>
  <si>
    <t>-57.96118</t>
  </si>
  <si>
    <t>https://es.wikipedia.org/wiki/José_Leandro_Andrade</t>
  </si>
  <si>
    <t>https://www.auf.org.uy/imagenes/img_contenido/seleccion_jugador/a/jose_leandro_andrade_2.jpg</t>
  </si>
  <si>
    <t>Cristian Rodríguez</t>
  </si>
  <si>
    <t>Atlético de Madrid, Peñarol</t>
  </si>
  <si>
    <t>España, Uruguay</t>
  </si>
  <si>
    <t>9/30/1985</t>
  </si>
  <si>
    <t>Juan Lacaze, Colonia</t>
  </si>
  <si>
    <t>-34.43126</t>
  </si>
  <si>
    <t>-57.44229</t>
  </si>
  <si>
    <t>https://es.wikipedia.org/wiki/Cristian_Rodríguez</t>
  </si>
  <si>
    <t>https://www.auf.org.uy/imagenes/img_contenido/seleccion_jugador/a/cristian_rodriguez_auf.jpg</t>
  </si>
  <si>
    <t>Dagoberto Fontes</t>
  </si>
  <si>
    <t>Defensor</t>
  </si>
  <si>
    <t>Maldonado</t>
  </si>
  <si>
    <t>-34.89794</t>
  </si>
  <si>
    <t>-54.95004</t>
  </si>
  <si>
    <t>https://es.wikipedia.org/wiki/Dagoberto_Fontes</t>
  </si>
  <si>
    <t>https://www.auf.org.uy/imagenes/img_contenido/seleccion_jugador/a/dagoberto_fontes_.jpg</t>
  </si>
  <si>
    <t>Daniel Fonseca</t>
  </si>
  <si>
    <t>9/13/1969</t>
  </si>
  <si>
    <t>https://es.wikipedia.org/wiki/Daniel_Fonseca</t>
  </si>
  <si>
    <t>https://www.auf.org.uy/imagenes/img_contenido/seleccion_jugador/a/fonsecadaniel.jpg</t>
  </si>
  <si>
    <t>Darío Pereyra</t>
  </si>
  <si>
    <t>São Paulo</t>
  </si>
  <si>
    <t>Brasil</t>
  </si>
  <si>
    <t>10/19/1956</t>
  </si>
  <si>
    <t>Sauce, Canelones</t>
  </si>
  <si>
    <t>-34.65021</t>
  </si>
  <si>
    <t>-56.06534</t>
  </si>
  <si>
    <t>https://es.wikipedia.org/wiki/Darío_Pereyra</t>
  </si>
  <si>
    <t>https://www.auf.org.uy/imagenes/img_contenido/seleccion_jugador/a/dario_pereyra_.jpg</t>
  </si>
  <si>
    <t>Darío Rodríguez</t>
  </si>
  <si>
    <t>9/17/1974</t>
  </si>
  <si>
    <t>https://es.wikipedia.org/wiki/Darío_Rodríguez</t>
  </si>
  <si>
    <t>https://www.auf.org.uy/imagenes/img_contenido/seleccion_jugador/a/dario_rodriguez_afp.jpg</t>
  </si>
  <si>
    <t>Darío Silva</t>
  </si>
  <si>
    <t>Málaga</t>
  </si>
  <si>
    <t>España</t>
  </si>
  <si>
    <t>Treinta y Tres</t>
  </si>
  <si>
    <t>-33.23214</t>
  </si>
  <si>
    <t>-54.38668</t>
  </si>
  <si>
    <t>https://es.wikipedia.org/wiki/Darío_Silva</t>
  </si>
  <si>
    <t>https://www.auf.org.uy/imagenes/img_contenido/seleccion_jugador/a/dario_silva_gettyimages.jpg</t>
  </si>
  <si>
    <t>Darwin Núñez</t>
  </si>
  <si>
    <t>Liverpool, Al-Hilal</t>
  </si>
  <si>
    <t>Inglaterra, Arabia Saudita</t>
  </si>
  <si>
    <t>6/24/1999</t>
  </si>
  <si>
    <t>Artigas</t>
  </si>
  <si>
    <t>-30.40432</t>
  </si>
  <si>
    <t>-56.46923</t>
  </si>
  <si>
    <t>https://es.wikipedia.org/wiki/Darwin_Núñez</t>
  </si>
  <si>
    <t>https://www.auf.org.uy/imagenes/img_contenido/seleccion_jugador/a/nunez-darwin-ct.jpg</t>
  </si>
  <si>
    <t>Denis Milar</t>
  </si>
  <si>
    <t>6/20/1952</t>
  </si>
  <si>
    <t>Rocha</t>
  </si>
  <si>
    <t>-34.48107</t>
  </si>
  <si>
    <t>-54.32904</t>
  </si>
  <si>
    <t>https://es.wikipedia.org/wiki/Denis_Milar</t>
  </si>
  <si>
    <t>https://www.auf.org.uy/imagenes/img_contenido/seleccion_jugador/a/denis_milar_gv.jpg</t>
  </si>
  <si>
    <t>Diego Forlán</t>
  </si>
  <si>
    <t>2002, 2010, 2014</t>
  </si>
  <si>
    <t>Manchester United, Atlético de Madrid, Cerezo Osaka</t>
  </si>
  <si>
    <t>Inglaterra, España, Japón</t>
  </si>
  <si>
    <t>5/19/1979</t>
  </si>
  <si>
    <t>https://es.wikipedia.org/wiki/Diego_Forlán</t>
  </si>
  <si>
    <t>https://www.auf.org.uy/imagenes/img_contenido/seleccion_jugador/a/diego_forlan_gettyimages.jpg</t>
  </si>
  <si>
    <t>Diego Godín</t>
  </si>
  <si>
    <t>2010, 2014, 2018, 2022</t>
  </si>
  <si>
    <t>Villarreal, Atlético de Madrid, Atlético de Madrid, Vélez Sarsfield</t>
  </si>
  <si>
    <t>España, España, España, Argentina</t>
  </si>
  <si>
    <t>2/16/1986</t>
  </si>
  <si>
    <t>Rosario, Colonia</t>
  </si>
  <si>
    <t>-34.31210</t>
  </si>
  <si>
    <t>-57.35094</t>
  </si>
  <si>
    <t>https://es.wikipedia.org/wiki/Diego_Godín</t>
  </si>
  <si>
    <t>https://www.auf.org.uy/imagenes/img_contenido/seleccion_jugador/a/godin-diego-2022.jpg</t>
  </si>
  <si>
    <t>Diego Laxalt</t>
  </si>
  <si>
    <t>Genoa</t>
  </si>
  <si>
    <t>https://es.wikipedia.org/wiki/Diego_Laxalt</t>
  </si>
  <si>
    <t>https://www.auf.org.uy/imagenes/img_contenido/seleccion_jugador/a/diego_laxalt_auf.jpg</t>
  </si>
  <si>
    <t>Diego Lugano</t>
  </si>
  <si>
    <t>Fenerbahçe, West Bromwich Albion</t>
  </si>
  <si>
    <t>Turquía, Inglaterra</t>
  </si>
  <si>
    <t>-34.52468</t>
  </si>
  <si>
    <t>-56.28121</t>
  </si>
  <si>
    <t>https://es.wikipedia.org/wiki/Diego_Lugano</t>
  </si>
  <si>
    <t>https://www.auf.org.uy/imagenes/img_contenido/seleccion_jugador/a/diego_lugano_gettyimages.jpg</t>
  </si>
  <si>
    <t>Diego Pérez</t>
  </si>
  <si>
    <t>Mónaco, Bologna</t>
  </si>
  <si>
    <t>Francia, Italia</t>
  </si>
  <si>
    <t>5/18/1980</t>
  </si>
  <si>
    <t>https://es.wikipedia.org/wiki/Diego_Pérez_Aguado</t>
  </si>
  <si>
    <t>https://img.a.transfermarkt.technology/portrait/big/s_20378_1025_2013_09_23_1.jpg?lm=1</t>
  </si>
  <si>
    <t>Domingo Pérez</t>
  </si>
  <si>
    <t>1962, 1966</t>
  </si>
  <si>
    <t>https://es.wikipedia.org/wiki/Domingo_Salvador_Pérez</t>
  </si>
  <si>
    <t>https://www.auf.org.uy/imagenes/img_contenido/seleccion_jugador/a/domingo_perez_2.jpg</t>
  </si>
  <si>
    <t>Lorenzo Fernández</t>
  </si>
  <si>
    <t>5/20/1900</t>
  </si>
  <si>
    <t>Redondela</t>
  </si>
  <si>
    <t>42.28185</t>
  </si>
  <si>
    <t>-8.60917</t>
  </si>
  <si>
    <t>https://es.wikipedia.org/wiki/Lorenzo_Fernández_(futbolista)</t>
  </si>
  <si>
    <t>https://www.auf.org.uy/imagenes/img_contenido/seleccion_jugador/a/lorenzo_fernandez_.jpg</t>
  </si>
  <si>
    <t>Edgardo González</t>
  </si>
  <si>
    <t>30 de septiebre de 1936</t>
  </si>
  <si>
    <t>9/30/1936</t>
  </si>
  <si>
    <t>Colonia del Sacramento</t>
  </si>
  <si>
    <t>-34.46353</t>
  </si>
  <si>
    <t>-57.83460</t>
  </si>
  <si>
    <t>https://www.auf.org.uy/edgardo-gonzalez/</t>
  </si>
  <si>
    <t>https://www.auf.org.uy/imagenes/img_contenido/seleccion_jugador/a/edgardo_gonzalez_.jpg</t>
  </si>
  <si>
    <t>Edinson Cavani</t>
  </si>
  <si>
    <t>Palermo, Paris Saint-Germain, París Saint-Germain, Valencia</t>
  </si>
  <si>
    <t>Italia, Francia, Francia, España</t>
  </si>
  <si>
    <t>2/14/1987</t>
  </si>
  <si>
    <t>https://es.wikipedia.org/wiki/Edinson_Cavani</t>
  </si>
  <si>
    <t>https://www.auf.org.uy/imagenes/img_contenido/seleccion_jugador/a/cavani-2022.jpg</t>
  </si>
  <si>
    <t>Eduardo Acevedo</t>
  </si>
  <si>
    <t>9/25/1959</t>
  </si>
  <si>
    <t>https://es.wikipedia.org/wiki/Eduardo_Mario_Acevedo</t>
  </si>
  <si>
    <t>https://www.auf.org.uy/imagenes/img_contenido/seleccion_jugador/a/eduardo_acevedo_.jpg</t>
  </si>
  <si>
    <t>Eduardo Pereira</t>
  </si>
  <si>
    <t>Independiente</t>
  </si>
  <si>
    <t>3/21/1954</t>
  </si>
  <si>
    <t>https://es.wikipedia.org/wiki/Eduardo_Pereira</t>
  </si>
  <si>
    <t>https://www.auf.org.uy/imagenes/img_contenido/seleccion_jugador/a/eduardo_pereira_un.jpg</t>
  </si>
  <si>
    <t>Egidio Arévalo Ríos</t>
  </si>
  <si>
    <t>Peñarol, Monarcas Morelia</t>
  </si>
  <si>
    <t>Uruguay, México</t>
  </si>
  <si>
    <t>https://es.wikipedia.org/wiki/Egidio_Arévalo_Ríos</t>
  </si>
  <si>
    <t>https://upload.wikimedia.org/wikipedia/commons/8/8c/U17_Egidio_Ar%C3%A9valo_R%C3%ADos_7559.jpg</t>
  </si>
  <si>
    <t>Eliseo Álvarez</t>
  </si>
  <si>
    <t>Nacional, Rampla Juniors</t>
  </si>
  <si>
    <t>https://en.wikipedia.org/wiki/Eliseo_%C3%81lvarez</t>
  </si>
  <si>
    <r>
      <rPr>
        <rFont val="Arial"/>
        <color rgb="FF1155CC"/>
        <sz val="11.0"/>
        <u/>
      </rPr>
      <t>https://www.auf.org.uy/imagenes/img_contenido/seleccion_jugador/a/eliseo_alvarez_.jpg</t>
    </r>
  </si>
  <si>
    <t>Eliseo Rivero</t>
  </si>
  <si>
    <t>12/27/1957</t>
  </si>
  <si>
    <t>https://es.wikipedia.org/wiki/Eliseo_Rivero</t>
  </si>
  <si>
    <r>
      <rPr>
        <rFont val="Arial"/>
        <color rgb="FF1155CC"/>
        <sz val="11.0"/>
        <u/>
      </rPr>
      <t>https://www.auf.org.uy/imagenes/img_contenido/seleccion_jugador/a/eliseo_rivero_un.jpg</t>
    </r>
  </si>
  <si>
    <t>Emiliano Martínez</t>
  </si>
  <si>
    <t>Palmeiras</t>
  </si>
  <si>
    <t>8/17/1999</t>
  </si>
  <si>
    <t>Punta del Este</t>
  </si>
  <si>
    <t>-34.93605</t>
  </si>
  <si>
    <t>-54.93781</t>
  </si>
  <si>
    <t>https://es.wikipedia.org/wiki/Emiliano_Mart%C3%ADnez_Toranza</t>
  </si>
  <si>
    <t>https://www.auf.org.uy/imagenes/img_contenido/seleccion_jugador/a/martinez-emiliano-ct.jpg</t>
  </si>
  <si>
    <t>Emilio Álvarez</t>
  </si>
  <si>
    <t>https://es.wikipedia.org/wiki/Emilio_Walter_Álvarez</t>
  </si>
  <si>
    <t>https://www.auf.org.uy/imagenes/img_contenido/seleccion_jugador/a/emilio_alvarez_.jpg</t>
  </si>
  <si>
    <t>Miguel Ángel Melogno</t>
  </si>
  <si>
    <t>Bella Vista</t>
  </si>
  <si>
    <t>3/22/1905</t>
  </si>
  <si>
    <t>https://es.wikipedia.org/wiki/Miguel_Ángel_Melogno</t>
  </si>
  <si>
    <r>
      <rPr>
        <rFont val="Arial"/>
        <color rgb="FF1155CC"/>
        <sz val="11.0"/>
        <u/>
      </rPr>
      <t>https://www.auf.org.uy/imagenes/img_contenido/seleccion_jugador/a/angel_melogno_3.jpg</t>
    </r>
  </si>
  <si>
    <t>Angel Romano</t>
  </si>
  <si>
    <t>2 de August de 1893</t>
  </si>
  <si>
    <t>1893-08-02</t>
  </si>
  <si>
    <t>https://es.wikipedia.org/wiki/Angel_Romano</t>
  </si>
  <si>
    <t>https://www.auf.org.uy/imagenes/img_contenido/seleccion_jugador/a/angel_romano_.jpg</t>
  </si>
  <si>
    <t>Enzo Francescoli</t>
  </si>
  <si>
    <t>River Plate, Marsella</t>
  </si>
  <si>
    <t>Argentina, Francia</t>
  </si>
  <si>
    <t>https://es.wikipedia.org/wiki/Enzo_Francescoli</t>
  </si>
  <si>
    <t>https://www.auf.org.uy/imagenes/img_contenido/seleccion_jugador/a/enxofrancescoli.jpg</t>
  </si>
  <si>
    <t>Domingo Tejera</t>
  </si>
  <si>
    <t>27 de September de 1899</t>
  </si>
  <si>
    <t>9/27/1899</t>
  </si>
  <si>
    <t>https://es.wikipedia.org/wiki/Domingo_Tejera</t>
  </si>
  <si>
    <t>https://www.auf.org.uy/imagenes/img_contenido/seleccion_jugador/a/domingo_tejera_2.jpg</t>
  </si>
  <si>
    <t>Ernesto Vidal</t>
  </si>
  <si>
    <t>11/15/1921</t>
  </si>
  <si>
    <t>Buje (anteriormente Buie d'Istria)</t>
  </si>
  <si>
    <t>Croacia (anteriormente Italia)</t>
  </si>
  <si>
    <t>45.40832</t>
  </si>
  <si>
    <t>13.65881</t>
  </si>
  <si>
    <t>https://es.wikipedia.org/wiki/Ernesto_Vidal</t>
  </si>
  <si>
    <t>https://www.auf.org.uy/imagenes/img_contenido/seleccion_jugador/a/ernesto_vidal_.jpg</t>
  </si>
  <si>
    <t>Eusebio Tejera</t>
  </si>
  <si>
    <t>1950, 1954</t>
  </si>
  <si>
    <t>Nacional, Defensor</t>
  </si>
  <si>
    <t>https://es.wikipedia.org/wiki/Eusebio_Tejera</t>
  </si>
  <si>
    <t>https://www.auf.org.uy/imagenes/img_contenido/seleccion_jugador/a/eusebio_tejera_.jpg</t>
  </si>
  <si>
    <t>Fabián Carini</t>
  </si>
  <si>
    <t>Juventus</t>
  </si>
  <si>
    <t>12/26/1979</t>
  </si>
  <si>
    <t>https://es.wikipedia.org/wiki/Fabián_Carini</t>
  </si>
  <si>
    <t>https://www.auf.org.uy/imagenes/img_contenido/seleccion_jugador/a/fabian_carini4.jpg</t>
  </si>
  <si>
    <t>Fabián O'Neill</t>
  </si>
  <si>
    <t>Perugia</t>
  </si>
  <si>
    <t>Italina</t>
  </si>
  <si>
    <t>10/14/1973</t>
  </si>
  <si>
    <t>Paso de los Toros</t>
  </si>
  <si>
    <t>Tacuarembó</t>
  </si>
  <si>
    <t>-32.81076</t>
  </si>
  <si>
    <t>-56.52030</t>
  </si>
  <si>
    <t>https://es.wikipedia.org/wiki/Fabián_O'Neill</t>
  </si>
  <si>
    <t>https://www.auf.org.uy/imagenes/img_contenido/seleccion_jugador/a/fabian_o-neil.jpg</t>
  </si>
  <si>
    <t>Facundo Pellistri</t>
  </si>
  <si>
    <t>Manchester United, Panathinaikos</t>
  </si>
  <si>
    <t>Inglaterra, Grecia</t>
  </si>
  <si>
    <t>12/20/2001</t>
  </si>
  <si>
    <t>https://es.wikipedia.org/wiki/Facundo_Pellistri</t>
  </si>
  <si>
    <t>https://www.auf.org.uy/imagenes/img_contenido/seleccion_jugador/a/pellistri-facundo-ct.jpg</t>
  </si>
  <si>
    <t>Facundo Torres</t>
  </si>
  <si>
    <t>Orlando City</t>
  </si>
  <si>
    <t>Estados Unidos</t>
  </si>
  <si>
    <t>4/13/2000</t>
  </si>
  <si>
    <t>https://es.wikipedia.org/wiki/Facundo_Torres</t>
  </si>
  <si>
    <t>https://www.auf.org.uy/imagenes/img_contenido/seleccion_jugador/a/facuuu.png</t>
  </si>
  <si>
    <t>Federico Elduayen</t>
  </si>
  <si>
    <t>6/25/1977</t>
  </si>
  <si>
    <t>Fray Bentos</t>
  </si>
  <si>
    <t>Río Negro</t>
  </si>
  <si>
    <t>-33.12729</t>
  </si>
  <si>
    <t>-58.29883</t>
  </si>
  <si>
    <t>https://es.wikipedia.org/wiki/Federico_Elduayen</t>
  </si>
  <si>
    <r>
      <rPr>
        <rFont val="Arial"/>
        <color rgb="FF1155CC"/>
        <sz val="11.0"/>
        <u/>
      </rPr>
      <t>https://www.elrionegrense.com.uy/wp-content/uploads/2022/06/FEDERICO-ELDUAYEN-ARQUERO-NOTA-PRINCIPAL-FOTO-universitariodesucre.blogspot.com-1-1.jpg#https://www.elrionegrense.com.uy/wp-content/uploads/2022/06/FEDERICO-ELDUAYEN-ARQUERO-NOTA-PRINCIPAL-FOTO-universitariodesucre.blogspot.com-1-1.jpg</t>
    </r>
  </si>
  <si>
    <t>Federico Magallanes</t>
  </si>
  <si>
    <t>Venezia</t>
  </si>
  <si>
    <t>8/22/1976</t>
  </si>
  <si>
    <t>https://es.wikipedia.org/wiki/Federico_Magallanes</t>
  </si>
  <si>
    <t>https://www.auf.org.uy/imagenes/img_contenido/seleccion_jugador/a/federico_magallanes_gettyimages.jpg</t>
  </si>
  <si>
    <t>Federico Valverde</t>
  </si>
  <si>
    <t>Real Madrid, Real Madrid</t>
  </si>
  <si>
    <t>7/22/1998</t>
  </si>
  <si>
    <t>https://es.wikipedia.org/wiki/Federico_Valverde</t>
  </si>
  <si>
    <t>https://www.auf.org.uy/imagenes/img_contenido/seleccion_jugador/a/valverde-federico-ct.jpg</t>
  </si>
  <si>
    <t>Federico Viñas</t>
  </si>
  <si>
    <t>Real Oviedo</t>
  </si>
  <si>
    <t>6/30/1998</t>
  </si>
  <si>
    <t>https://es.wikipedia.org/wiki/Federico_Vi%C3%B1as</t>
  </si>
  <si>
    <t>https://www.auf.org.uy/imagenes/img_contenido/seleccion_jugador/a/federico-vinas232.jpg</t>
  </si>
  <si>
    <t>Felipe Revelez</t>
  </si>
  <si>
    <t>9/30/1959</t>
  </si>
  <si>
    <t>https://es.wikipedia.org/wiki/Daniel_Felipe_Revelez</t>
  </si>
  <si>
    <t>https://www.auf.org.uy/imagenes/img_contenido/seleccion_jugador/a/felipe_revelez_un.jpg</t>
  </si>
  <si>
    <t>Fernando Álvez</t>
  </si>
  <si>
    <t>https://es.wikipedia.org/wiki/Fernando_Álvez</t>
  </si>
  <si>
    <t>https://www.auf.org.uy/imagenes/img_contenido/seleccion_jugador/a/fernando_alvez_giovinatti2.jpg</t>
  </si>
  <si>
    <t>Fernando Morena</t>
  </si>
  <si>
    <t>https://es.wikipedia.org/wiki/Fernando_Morena</t>
  </si>
  <si>
    <t>https://www.auf.org.uy/imagenes/img_contenido/seleccion_jugador/a/fernando_morena_gv.jpg</t>
  </si>
  <si>
    <t>Fernando Muslera</t>
  </si>
  <si>
    <t>2010, 2014, 2018, 2022, 2026</t>
  </si>
  <si>
    <t>Lazio, Galatasaray, Galatasaray, Galatasaray, Estudiantes de La Plata</t>
  </si>
  <si>
    <t>Italia, Turquía, Turquía, Turquía, Argentina</t>
  </si>
  <si>
    <t>6/16/1986</t>
  </si>
  <si>
    <t>Buenos Aires</t>
  </si>
  <si>
    <t>-34.60367</t>
  </si>
  <si>
    <t>-58.38212</t>
  </si>
  <si>
    <t>https://es.wikipedia.org/wiki/Fernando_Muslera</t>
  </si>
  <si>
    <t>https://www.auf.org.uy/imagenes/img_contenido/seleccion_jugador/a/muslera.jpg</t>
  </si>
  <si>
    <t>Francisco Cámera</t>
  </si>
  <si>
    <r>
      <rPr>
        <rFont val="Arial"/>
        <color rgb="FF1155CC"/>
        <sz val="11.0"/>
        <u/>
      </rPr>
      <t>https://en.wikipedia.org/wiki/Francisco_C%C3%A1mera</t>
    </r>
  </si>
  <si>
    <t>https://upload.wikimedia.org/wikipedia/commons/7/7c/Francisco_C%C3%A1mera.jpg</t>
  </si>
  <si>
    <t>Gabriel Correa</t>
  </si>
  <si>
    <t>1/13/1968</t>
  </si>
  <si>
    <t>https://es.wikipedia.org/wiki/Carlos_Gabriel_Correa_Viana</t>
  </si>
  <si>
    <t>https://www.auf.org.uy/imagenes/img_contenido/seleccion_jugador/a/gabriel_correa_2.jpg</t>
  </si>
  <si>
    <t>Gastón Ramírez</t>
  </si>
  <si>
    <t>Southampton FC</t>
  </si>
  <si>
    <t>Inglaterra</t>
  </si>
  <si>
    <t>https://es.wikipedia.org/wiki/Gastón_Ramírez</t>
  </si>
  <si>
    <t>https://www.auf.org.uy/imagenes/img_contenido/seleccion_jugador/a/gaston_ramirez_auf.jpg</t>
  </si>
  <si>
    <t>Gastón Silva</t>
  </si>
  <si>
    <t>https://es.wikipedia.org/wiki/Gastón_Silva</t>
  </si>
  <si>
    <t>https://auf.org.uy/imagenes/img_contenido/seleccion_jugador/a/gaston_silva.jpg</t>
  </si>
  <si>
    <t>Gianni Guigou</t>
  </si>
  <si>
    <t>Roma</t>
  </si>
  <si>
    <t>2/22/1975</t>
  </si>
  <si>
    <t>Nueva Palmira</t>
  </si>
  <si>
    <t>-33.87427</t>
  </si>
  <si>
    <t>-58.40708</t>
  </si>
  <si>
    <t>https://es.wikipedia.org/wiki/Gianni_Guigou</t>
  </si>
  <si>
    <t>https://www.auf.org.uy/imagenes/img_contenido/seleccion_jugador/a/gianni_guigou_pa.jpg</t>
  </si>
  <si>
    <t>Giorgian De Arrascaeta</t>
  </si>
  <si>
    <t>2018, 2022, 2026</t>
  </si>
  <si>
    <t>Cruzeiro, Flamengo,  Flamengo</t>
  </si>
  <si>
    <t>Brasil, Brasil, Brasil</t>
  </si>
  <si>
    <t>Nuevo Berlín</t>
  </si>
  <si>
    <t>-32.97971</t>
  </si>
  <si>
    <t>-58.05701</t>
  </si>
  <si>
    <t>https://es.wikipedia.org/wiki/Giorgian_De_Arrascaeta</t>
  </si>
  <si>
    <t>https://www.auf.org.uy/imagenes/img_contenido/seleccion_jugador/a/de-arrascaeta-giorgian-ct.jpg</t>
  </si>
  <si>
    <t>Gonzalo de los Santos</t>
  </si>
  <si>
    <t>Valencia</t>
  </si>
  <si>
    <t>7/19/1976</t>
  </si>
  <si>
    <t>https://es.wikipedia.org/wiki/Gonzalo_de_los_Santos</t>
  </si>
  <si>
    <t>https://www.auf.org.uy/imagenes/img_contenido/seleccion_jugador/a/gonzalo_de_los_santos_gettyimages.jpg</t>
  </si>
  <si>
    <t>Gonzalo Sorondo</t>
  </si>
  <si>
    <t>https://es.wikipedia.org/wiki/Gonzalo_Sorondo</t>
  </si>
  <si>
    <t>https://www.auf.org.uy/imagenes/img_contenido/seleccion_jugador/a/gonzalo_sorondo_pa.jpg</t>
  </si>
  <si>
    <t>Guillermo Escalada</t>
  </si>
  <si>
    <t>4/24/1936</t>
  </si>
  <si>
    <t>https://es.wikipedia.org/wiki/Guillermo_Escalada</t>
  </si>
  <si>
    <t>https://www.auf.org.uy/imagenes/img_contenido/seleccion_jugador/a/guillermo_escalada_.jpg</t>
  </si>
  <si>
    <t>Guillermo Varela</t>
  </si>
  <si>
    <t>Peñarol, Flamengo, Flamengo</t>
  </si>
  <si>
    <t>Uruguay, Brasil, Brasil</t>
  </si>
  <si>
    <t>3/24/1993</t>
  </si>
  <si>
    <t>https://es.wikipedia.org/wiki/Guillermo_Varela</t>
  </si>
  <si>
    <t>https://www.auf.org.uy/imagenes/img_contenido/seleccion_jugador/a/varela-guillermo-ct.jpg</t>
  </si>
  <si>
    <t>Gustavo De Simone</t>
  </si>
  <si>
    <t>Defensor Sporting</t>
  </si>
  <si>
    <t>4/23/1948</t>
  </si>
  <si>
    <t>https://es.wikipedia.org/wiki/Gustavo_De_Simone</t>
  </si>
  <si>
    <t>https://www.auf.org.uy/imagenes/img_contenido/seleccion_jugador/a/gustavo_de_simone_.jpg</t>
  </si>
  <si>
    <t>Gustavo Fernández</t>
  </si>
  <si>
    <t>Rentistas</t>
  </si>
  <si>
    <t>2/16/1952</t>
  </si>
  <si>
    <t>https://es.wikipedia.org/wiki/Gustavo_Fernández_(futbolista_uruguayo)</t>
  </si>
  <si>
    <t>https://www.auf.org.uy/imagenes/img_contenido/seleccion_jugador/a/gustavo_fernandez_.jpg</t>
  </si>
  <si>
    <t>Gustavo Mendez</t>
  </si>
  <si>
    <t>https://es.wikipedia.org/wiki/Gustavo_Mendez</t>
  </si>
  <si>
    <t>https://www.auf.org.uy/imagenes/img_contenido/seleccion_jugador/a/gustavo_mendez_pa2.jpg</t>
  </si>
  <si>
    <t>Gustavo Munúa</t>
  </si>
  <si>
    <t>1/27/1978</t>
  </si>
  <si>
    <t>https://es.wikipedia.org/wiki/Gustavo_Munúa</t>
  </si>
  <si>
    <t>https://www.auf.org.uy/imagenes/img_contenido/seleccion_jugador/a/gustavo_munua_precision-football.jpg</t>
  </si>
  <si>
    <t>Gustavo Varela</t>
  </si>
  <si>
    <t>5/14/1978</t>
  </si>
  <si>
    <t>https://es.wikipedia.org/wiki/Gustavo_Antonio_Varela</t>
  </si>
  <si>
    <t>https://www.auf.org.uy/imagenes/img_contenido/seleccion_jugador/a/gustavo_varela_pa.jpg</t>
  </si>
  <si>
    <t>Emilio Recoba</t>
  </si>
  <si>
    <t>Palermo, Montevideo</t>
  </si>
  <si>
    <t>-34.91068</t>
  </si>
  <si>
    <t>-56.17980</t>
  </si>
  <si>
    <t>https://es.wikipedia.org/wiki/Emilio_Recoba</t>
  </si>
  <si>
    <t>https://www.auf.org.uy/imagenes/img_contenido/seleccion_jugador/a/emilio_recoba_.jpg</t>
  </si>
  <si>
    <t>Héctor Salvá</t>
  </si>
  <si>
    <t>11/27/1939</t>
  </si>
  <si>
    <t>https://es.wikipedia.org/wiki/Héctor_Salvá</t>
  </si>
  <si>
    <t>https://www.auf.org.uy/imagenes/img_contenido/seleccion_jugador/a/hector_salva.jpg</t>
  </si>
  <si>
    <t>Héctor Santos</t>
  </si>
  <si>
    <t>1970, 1974</t>
  </si>
  <si>
    <t>Bella Vista, Alianza Lima</t>
  </si>
  <si>
    <t>Perú</t>
  </si>
  <si>
    <t>10/29/1944</t>
  </si>
  <si>
    <t>https://es.wikipedia.org/wiki/Héctor_Santos_(futbolista_uruguayo)</t>
  </si>
  <si>
    <t>https://www.auf.org.uy/imagenes/img_contenido/seleccion_jugador/a/hector_santos_.jpg</t>
  </si>
  <si>
    <t>Ernesto Mascheroni</t>
  </si>
  <si>
    <t>11/21/1907</t>
  </si>
  <si>
    <t>https://es.wikipedia.org/wiki/Ernesto_Mascheroni</t>
  </si>
  <si>
    <t>https://www.auf.org.uy/imagenes/img_contenido/seleccion_jugador/a/ernesto_mascheroni.jpg</t>
  </si>
  <si>
    <t>Héctor Silva</t>
  </si>
  <si>
    <t>Danubio, Peñarol</t>
  </si>
  <si>
    <t>https://es.wikipedia.org/wiki/Héctor_Silva</t>
  </si>
  <si>
    <t>https://www.auf.org.uy/imagenes/img_contenido/seleccion_jugador/a/hector_silva_.jpg</t>
  </si>
  <si>
    <t>Héctor Vilches</t>
  </si>
  <si>
    <t>Cerro</t>
  </si>
  <si>
    <t>2/14/1926</t>
  </si>
  <si>
    <t>https://es.wikipedia.org/wiki/Héctor_Vilches</t>
  </si>
  <si>
    <t>https://www.auf.org.uy/imagenes/img_contenido/seleccion_jugador/a/hector_vilches_2.jpg</t>
  </si>
  <si>
    <t>Horacio Troche</t>
  </si>
  <si>
    <t>Nacional, Cerro</t>
  </si>
  <si>
    <t>Nueva Helvecia</t>
  </si>
  <si>
    <t>-34.29074</t>
  </si>
  <si>
    <t>-57.23528</t>
  </si>
  <si>
    <t>https://es.wikipedia.org/wiki/Horacio_Troche</t>
  </si>
  <si>
    <t>https://www.auf.org.uy/imagenes/img_contenido/seleccion_jugador/a/horacio_troche_.jpg</t>
  </si>
  <si>
    <t>Hugo De León</t>
  </si>
  <si>
    <t>2/27/1958</t>
  </si>
  <si>
    <t>-30.90306</t>
  </si>
  <si>
    <t>-55.54211</t>
  </si>
  <si>
    <t>https://es.wikipedia.org/wiki/Hugo_De_León</t>
  </si>
  <si>
    <t>https://www.auf.org.uy/imagenes/img_contenido/seleccion_jugador/a/hugo_de_leon_un.jpg</t>
  </si>
  <si>
    <t>Ignacio González</t>
  </si>
  <si>
    <t>5/14/1982</t>
  </si>
  <si>
    <t>https://es.wikipedia.org/wiki/Ignacio_González_Gatti</t>
  </si>
  <si>
    <t>https://www.auf.org.uy/imagenes/img_contenido/seleccion_jugador/a/ignacio_gonzalez_gettyimages.jpg</t>
  </si>
  <si>
    <t>Ildo Maneiro</t>
  </si>
  <si>
    <t>https://es.wikipedia.org/wiki/Ildo_Maneiro</t>
  </si>
  <si>
    <t>https://www.auf.org.uy/imagenes/img_contenido/seleccion_jugador/a/ildo_maneiro_.jpg</t>
  </si>
  <si>
    <t>Javier Ambrois</t>
  </si>
  <si>
    <t>https://es.wikipedia.org/wiki/Javier_Ambrois</t>
  </si>
  <si>
    <t>https://www.auf.org.uy/imagenes/img_contenido/seleccion_jugador/a/javier_ambrois_2.jpg</t>
  </si>
  <si>
    <t>Javier Zeoli</t>
  </si>
  <si>
    <t>Tenerife</t>
  </si>
  <si>
    <t>https://es.wikipedia.org/wiki/Javier_Zeoli</t>
  </si>
  <si>
    <t>https://www.auf.org.uy/imagenes/img_contenido/seleccion_jugador/a/javier_zeoli_un.jpg</t>
  </si>
  <si>
    <t>Joaquín Piquerez</t>
  </si>
  <si>
    <t>8/24/1998</t>
  </si>
  <si>
    <t>https://es.wikipedia.org/wiki/Joaqu%C3%ADn_Piquerez</t>
  </si>
  <si>
    <t>https://www.auf.org.uy/imagenes/img_contenido/seleccion_jugador/a/joaquin-piquerez222.jpg</t>
  </si>
  <si>
    <t>Joe Bizera</t>
  </si>
  <si>
    <t>5/17/1980</t>
  </si>
  <si>
    <t>https://es.wikipedia.org/wiki/Joe_Bizera</t>
  </si>
  <si>
    <t>https://www.auf.org.uy/imagenes/img_contenido/seleccion_jugador/a/joe_bizera_afp.jpg</t>
  </si>
  <si>
    <t>Jonathan Urretaviscaya</t>
  </si>
  <si>
    <t>3/19/1990</t>
  </si>
  <si>
    <t>https://es.wikipedia.org/wiki/Jonathan_Urretaviscaya</t>
  </si>
  <si>
    <t>https://www.auf.org.uy/imagenes/img_contenido/seleccion_jugador/a/jonathan_urretaviscaya_auf.jpg</t>
  </si>
  <si>
    <t>Jorge Barrios</t>
  </si>
  <si>
    <t>Olympiakos</t>
  </si>
  <si>
    <t>Grecia</t>
  </si>
  <si>
    <t>1/24/1961</t>
  </si>
  <si>
    <t>Las Piedras</t>
  </si>
  <si>
    <t>-34.72699</t>
  </si>
  <si>
    <t>-56.21596</t>
  </si>
  <si>
    <t>https://es.wikipedia.org/wiki/Jorge_Barrios</t>
  </si>
  <si>
    <t>https://www.auf.org.uy/imagenes/img_contenido/seleccion_jugador/a/jorge_barrios_un.jpg</t>
  </si>
  <si>
    <t>Jorge da Silva</t>
  </si>
  <si>
    <t>Atlético Madrid</t>
  </si>
  <si>
    <t>https://es.wikipedia.org/wiki/Jorge_da_Silva</t>
  </si>
  <si>
    <t>https://www.auf.org.uy/imagenes/img_contenido/seleccion_jugador/a/jorge_da_silva_un.jpg</t>
  </si>
  <si>
    <t>Jorge Fucile</t>
  </si>
  <si>
    <t>FC Porto, FC Porto</t>
  </si>
  <si>
    <t>Portugal, Portugal</t>
  </si>
  <si>
    <t>11/19/1984</t>
  </si>
  <si>
    <t>https://es.wikipedia.org/wiki/Jorge_Fucile</t>
  </si>
  <si>
    <t>https://www.auf.org.uy/imagenes/img_contenido/seleccion_jugador/a/jorge_fucile_gettyimages.jpg</t>
  </si>
  <si>
    <t>Jorge Manicera</t>
  </si>
  <si>
    <t>https://es.wikipedia.org/wiki/Jorge_Manicera</t>
  </si>
  <si>
    <t>https://www.auf.org.uy/imagenes/img_contenido/seleccion_jugador/a/jorge_manicera_.jpg</t>
  </si>
  <si>
    <t>José Batista</t>
  </si>
  <si>
    <t>Deportivo Español</t>
  </si>
  <si>
    <t>https://es.wikipedia.org/wiki/José_Batista</t>
  </si>
  <si>
    <t>https://www.auf.org.uy/imagenes/img_contenido/seleccion_jugador/a/jose_batista_un2.jpg</t>
  </si>
  <si>
    <t>José Gómez</t>
  </si>
  <si>
    <t>10/23/1949</t>
  </si>
  <si>
    <t>https://www.transfermarkt.es/jose-gomez/profil/spieler/143464</t>
  </si>
  <si>
    <r>
      <rPr>
        <rFont val="Arial"/>
        <color rgb="FF1155CC"/>
        <sz val="11.0"/>
        <u/>
      </rPr>
      <t>https://www.auf.org.uy/imagenes/img_contenido/seleccion_jugador/a/jose_gervasio_gomez_gettyimages.jpg</t>
    </r>
  </si>
  <si>
    <t>José Herrera</t>
  </si>
  <si>
    <t>Figueres</t>
  </si>
  <si>
    <t>6/17/1965</t>
  </si>
  <si>
    <t>https://es.wikipedia.org/wiki/José_Óscar_Herrera</t>
  </si>
  <si>
    <t>https://www.auf.org.uy/imagenes/img_contenido/seleccion_jugador/a/herrerajose.jpg</t>
  </si>
  <si>
    <t>José Nasazzi</t>
  </si>
  <si>
    <t>3/24/1901</t>
  </si>
  <si>
    <t>https://es.wikipedia.org/wiki/José_Nasazzi</t>
  </si>
  <si>
    <t>https://www.auf.org.uy/imagenes/img_contenido/seleccion_jugador/a/jose_nasazzi_2.jpg</t>
  </si>
  <si>
    <t>José Luis Pintos Saldanha</t>
  </si>
  <si>
    <t>3/25/1964</t>
  </si>
  <si>
    <t>https://es.wikipedia.org/wiki/José_Luis_Pintos_Saldanha</t>
  </si>
  <si>
    <t>https://www.auf.org.uy/imagenes/img_contenido/seleccion_jugador/a/jose_luis_pintos_saldanha_un.jpg</t>
  </si>
  <si>
    <t>José Luis Rodríguez</t>
  </si>
  <si>
    <t>3/14/1997</t>
  </si>
  <si>
    <t>https://es.wikipedia.org/wiki/José_Luis_Rodríguez_Bebanz</t>
  </si>
  <si>
    <t>https://www.auf.org.uy/imagenes/img_contenido/seleccion_jugador/a/pumita111222.png</t>
  </si>
  <si>
    <t>José Luis Zalazar</t>
  </si>
  <si>
    <t>10/26/1963</t>
  </si>
  <si>
    <t>https://es.wikipedia.org/wiki/José_Luis_Zalazar</t>
  </si>
  <si>
    <t>https://www.auf.org.uy/imagenes/img_contenido/seleccion_jugador/a/zalazarjl.jpg</t>
  </si>
  <si>
    <t>José María Giménez</t>
  </si>
  <si>
    <t>2014, 2018, 2022, 2026</t>
  </si>
  <si>
    <t>Atlético de Madrid, Atlético de Madrid, Atlético de Madrid, Atlético de Madrid</t>
  </si>
  <si>
    <t>España, España, España, España</t>
  </si>
  <si>
    <t>1/20/1995</t>
  </si>
  <si>
    <t>Toledo</t>
  </si>
  <si>
    <t>-34.74032</t>
  </si>
  <si>
    <t>-56.09246</t>
  </si>
  <si>
    <t>https://es.wikipedia.org/wiki/José_María_Giménez</t>
  </si>
  <si>
    <r>
      <rPr>
        <rFont val="Arial"/>
        <color rgb="FF1155CC"/>
        <sz val="11.0"/>
        <u/>
      </rPr>
      <t>https://www.auf.org.uy/imagenes/img_contenido/seleccion_jugador/a/gimenez-jose-maria-ct.jpg</t>
    </r>
  </si>
  <si>
    <t>Héctor Castro</t>
  </si>
  <si>
    <t>11/29/1904</t>
  </si>
  <si>
    <t>https://es.wikipedia.org/wiki/Héctor_Castro</t>
  </si>
  <si>
    <t>https://www.auf.org.uy/imagenes/img_contenido/seleccion_jugador/a/hector_castro.jpg</t>
  </si>
  <si>
    <t>Héctor Scarone</t>
  </si>
  <si>
    <t>26 de November de 1898</t>
  </si>
  <si>
    <t>1898-11-26</t>
  </si>
  <si>
    <t>https://es.wikipedia.org/wiki/Héctor_Scarone</t>
  </si>
  <si>
    <t>https://www.auf.org.uy/imagenes/img_contenido/seleccion_jugador/a/hector_scarone.jpg</t>
  </si>
  <si>
    <t>José Perdomo</t>
  </si>
  <si>
    <t>https://es.wikipedia.org/wiki/José_Perdomo</t>
  </si>
  <si>
    <t>https://upload.wikimedia.org/wikipedia/commons/thumb/a/a7/Jos%C3%A9_Perdomo.jpg/250px-Jos%C3%A9_Perdomo.jpg</t>
  </si>
  <si>
    <t>José Santamaría</t>
  </si>
  <si>
    <t>7/31/1929</t>
  </si>
  <si>
    <t>https://es.wikipedia.org/wiki/José_Santamaría</t>
  </si>
  <si>
    <t>https://upload.wikimedia.org/wikipedia/commons/thumb/b/b9/Jos%C3%A9_Santamar%C3%ADa_1976.jpg/250px-Jos%C3%A9_Santamar%C3%ADa_1976.jpg</t>
  </si>
  <si>
    <t>José Sasía</t>
  </si>
  <si>
    <t>Peñarol, Defensor</t>
  </si>
  <si>
    <t>Uruguay, Uruguay</t>
  </si>
  <si>
    <t>12/27/1933</t>
  </si>
  <si>
    <t>https://es.wikipedia.org/wiki/José_Sasía</t>
  </si>
  <si>
    <t>https://upload.wikimedia.org/wikipedia/commons/thumb/f/f4/PepeSas%C3%ADa.png/250px-PepeSas%C3%ADa.png</t>
  </si>
  <si>
    <t>José Urruzmendi</t>
  </si>
  <si>
    <t>8/25/1944</t>
  </si>
  <si>
    <r>
      <rPr>
        <rFont val="Arial"/>
        <color rgb="FF1155CC"/>
        <sz val="11.0"/>
        <u/>
      </rPr>
      <t>https://es.wikipedia.org/wiki/José_Urruzmendi</t>
    </r>
  </si>
  <si>
    <r>
      <rPr>
        <rFont val="Arial"/>
        <color rgb="FF1155CC"/>
        <sz val="11.0"/>
        <u/>
      </rPr>
      <t>https://www.auf.org.uy/imagenes/img_contenido/seleccion_jugador/a/jose_urruzmendi.jpg</t>
    </r>
  </si>
  <si>
    <t>Juan Alberto Schiaffino</t>
  </si>
  <si>
    <t>Peñarol, Peñarol</t>
  </si>
  <si>
    <t>7/28/1925</t>
  </si>
  <si>
    <t>https://es.wikipedia.org/wiki/Juan_Alberto_Schiaffino</t>
  </si>
  <si>
    <t>https://upload.wikimedia.org/wikipedia/commons/1/1d/Schiaffino_%28cropped%29.jpg</t>
  </si>
  <si>
    <t>Juan Burgueño</t>
  </si>
  <si>
    <t>https://es.wikipedia.org/wiki/Juan_Burgueño</t>
  </si>
  <si>
    <t>https://www.auf.org.uy/imagenes/img_contenido/seleccion_jugador/a/juan_burgueno_.jpg</t>
  </si>
  <si>
    <t>José Pedro Cea</t>
  </si>
  <si>
    <t>https://es.wikipedia.org/wiki/José_Pedro_Cea</t>
  </si>
  <si>
    <t>https://www.auf.org.uy/imagenes/img_contenido/seleccion_jugador/a/pedr_cea_2.jpg</t>
  </si>
  <si>
    <t>Juan Carlos González</t>
  </si>
  <si>
    <t>8/22/1924</t>
  </si>
  <si>
    <t>https://es.wikipedia.org/wiki/Juan_Carlos_González_Ortiz</t>
  </si>
  <si>
    <t>https://www.auf.org.uy/imagenes/img_contenido/seleccion_jugador/a/juan_carlos_gonzalez.jpg</t>
  </si>
  <si>
    <t>Juan Carlos Masnik</t>
  </si>
  <si>
    <t>El Tala, Soriano</t>
  </si>
  <si>
    <t>-33.20831</t>
  </si>
  <si>
    <t>-57.41738</t>
  </si>
  <si>
    <t>https://es.wikipedia.org/wiki/Juan_Masnik</t>
  </si>
  <si>
    <t>https://www.auf.org.uy/imagenes/img_contenido/seleccion_jugador/a/juan_masnik_.jpg</t>
  </si>
  <si>
    <t>Juan Castillo</t>
  </si>
  <si>
    <t>Deportivo Cali</t>
  </si>
  <si>
    <t>Colombia</t>
  </si>
  <si>
    <t>4/17/1978</t>
  </si>
  <si>
    <t>https://es.wikipedia.org/wiki/Juan_Guillermo_Castillo</t>
  </si>
  <si>
    <t>https://upload.wikimedia.org/wikipedia/commons/0/04/Juan_Castillo_2.JPG</t>
  </si>
  <si>
    <t>Juan Eduardo Hohberg</t>
  </si>
  <si>
    <t>Alejo Ledesma, Córdoba</t>
  </si>
  <si>
    <t>-33.60636</t>
  </si>
  <si>
    <t>-62.62412</t>
  </si>
  <si>
    <t>https://es.wikipedia.org/wiki/Juan_Eduardo_Hohberg</t>
  </si>
  <si>
    <t>https://upload.wikimedia.org/wikipedia/commons/7/7f/Juan_Hohberg.png</t>
  </si>
  <si>
    <t>Juan Manuel Sanabria</t>
  </si>
  <si>
    <t>Real Salt Lake</t>
  </si>
  <si>
    <t>3/29/2000</t>
  </si>
  <si>
    <t>https://es.wikipedia.org/wiki/Juan_Manuel_Sanabria</t>
  </si>
  <si>
    <t>https://www.auf.org.uy/imagenes/img_contenido/seleccion_jugador/a/jm-sanabria.jpg</t>
  </si>
  <si>
    <t>Juan Martín Mugica</t>
  </si>
  <si>
    <t>12/22/1943</t>
  </si>
  <si>
    <t>Casa Blanca, Paysandú</t>
  </si>
  <si>
    <t>-32.39756</t>
  </si>
  <si>
    <t>-58.15900</t>
  </si>
  <si>
    <t>https://es.wikipedia.org/wiki/Juan_Martín_Mugica</t>
  </si>
  <si>
    <t>https://upload.wikimedia.org/wikipedia/commons/thumb/5/5c/Juan_Mujica.png/250px-Juan_Mujica.png</t>
  </si>
  <si>
    <t>Juan Carlos Calvo</t>
  </si>
  <si>
    <t>Miramar</t>
  </si>
  <si>
    <t>6/26/1906</t>
  </si>
  <si>
    <t>https://es.wikipedia.org/wiki/Juan_Carlos_Calvo</t>
  </si>
  <si>
    <t>https://www.auf.org.uy/imagenes/img_contenido/seleccion_jugador/a/juan_carlos_calvo_.jpg</t>
  </si>
  <si>
    <t>Juan Ramón Silva</t>
  </si>
  <si>
    <t>https://es.wikipedia.org/wiki/Juan_Ramón_Silva</t>
  </si>
  <si>
    <t>https://upload.wikimedia.org/wikipedia/commons/thumb/0/0a/RIVER_PLATE-AUCAS_%2816411989891%29.jpg/330px-RIVER_PLATE-AUCAS_%2816411989891%29.jpg</t>
  </si>
  <si>
    <t>Julio César Abbadie</t>
  </si>
  <si>
    <t>7 de setiembre de 1930</t>
  </si>
  <si>
    <t>San Ramón</t>
  </si>
  <si>
    <t>-34.29073</t>
  </si>
  <si>
    <t>-55.95739</t>
  </si>
  <si>
    <t>https://es.wikipedia.org/wiki/Julio_César_Abbadie</t>
  </si>
  <si>
    <t>https://upload.wikimedia.org/wikipedia/commons/a/a3/Julio_Abbadie_%28cropped%29.jpg</t>
  </si>
  <si>
    <t>Julio César Britos</t>
  </si>
  <si>
    <t>5/18/1926</t>
  </si>
  <si>
    <t>https://es.wikipedia.org/wiki/Julio_César_Britos</t>
  </si>
  <si>
    <t>https://www.auf.org.uy/imagenes/img_contenido/seleccion_jugador/a/julio_cesar_britos_.jpg</t>
  </si>
  <si>
    <t>Julio César Cortés</t>
  </si>
  <si>
    <t>1962, 1966, 1970</t>
  </si>
  <si>
    <t>Sud América, Peñarol, Peñarol</t>
  </si>
  <si>
    <t>Uruguay, Uruguay, Uruguay</t>
  </si>
  <si>
    <t>3/29/1941</t>
  </si>
  <si>
    <t>https://es.wikipedia.org/wiki/Julio_César_Cortés</t>
  </si>
  <si>
    <t>https://upload.wikimedia.org/wikipedia/commons/8/8e/Julio_C%C3%A9sar_Cort%C3%A9s.png</t>
  </si>
  <si>
    <t>Julio César Giménez</t>
  </si>
  <si>
    <t>8/27/1954</t>
  </si>
  <si>
    <t>https://es.wikipedia.org/wiki/Julio_César_Giménez_(futbolista)</t>
  </si>
  <si>
    <t>https://www.auf.org.uy/imagenes/img_contenido/seleccion_jugador/a/julio_cesar_jimenez_gv.jpg</t>
  </si>
  <si>
    <t>Julio César Morales</t>
  </si>
  <si>
    <t>2/16/1945</t>
  </si>
  <si>
    <t>https://es.wikipedia.org/wiki/Julio_César_Morales</t>
  </si>
  <si>
    <t>https://upload.wikimedia.org/wikipedia/commons/d/de/Julio_C%C3%A9sar_Morales.jpg</t>
  </si>
  <si>
    <t>Julio Losada</t>
  </si>
  <si>
    <t>6/16/1950</t>
  </si>
  <si>
    <r>
      <rPr>
        <rFont val="Arial"/>
        <color rgb="FF1155CC"/>
        <sz val="11.0"/>
        <u/>
      </rPr>
      <t>https://www.auf.org.uy/julio-losada/</t>
    </r>
  </si>
  <si>
    <r>
      <rPr>
        <rFont val="Arial"/>
        <color rgb="FF1155CC"/>
        <sz val="11.0"/>
        <u/>
      </rPr>
      <t>https://www.auf.org.uy/imagenes/img_contenido/seleccion_jugador/a/julio_losada_.jpg</t>
    </r>
  </si>
  <si>
    <t>Julio Maceiras</t>
  </si>
  <si>
    <t>4/22/1926</t>
  </si>
  <si>
    <t>https://es.wikipedia.org/wiki/Julio_Maceiras</t>
  </si>
  <si>
    <t>https://www.auf.org.uy/imagenes/img_contenido/seleccion_jugador/a/julio_maceiras_.jpg</t>
  </si>
  <si>
    <t>Julio Montero Castillo</t>
  </si>
  <si>
    <t>Nacional, Granada</t>
  </si>
  <si>
    <t>4/25/1944</t>
  </si>
  <si>
    <t>https://es.wikipedia.org/wiki/Julio_Montero_Castillo</t>
  </si>
  <si>
    <t>https://upload.wikimedia.org/wikipedia/commons/thumb/6/60/Julio_Montero_Castillo_%281974%29.jpg/250px-Julio_Montero_Castillo_%281974%29.jpg</t>
  </si>
  <si>
    <t>Julio Pérez</t>
  </si>
  <si>
    <t>River Plate, Nacional</t>
  </si>
  <si>
    <t>6/19/1926</t>
  </si>
  <si>
    <t>https://es.wikipedia.org/wiki/Julio_Pérez_(futbolista)</t>
  </si>
  <si>
    <t>https://upload.wikimedia.org/wikipedia/commons/thumb/3/38/Urug1950.jpg/250px-Urug1950.jpg</t>
  </si>
  <si>
    <t>Ladislao Mazurkiewicz</t>
  </si>
  <si>
    <t>1966, 1970, 1974</t>
  </si>
  <si>
    <t>Peñarol, Peñarol, Atlético Mineiro</t>
  </si>
  <si>
    <t>Uruguay, Uruguay, Brasil</t>
  </si>
  <si>
    <t>2/14/1945</t>
  </si>
  <si>
    <t>Piriápolis</t>
  </si>
  <si>
    <t>-34.86586</t>
  </si>
  <si>
    <t>-55.27554</t>
  </si>
  <si>
    <t>https://es.wikipedia.org/wiki/Ladislao_Mazurkiewicz</t>
  </si>
  <si>
    <t>https://upload.wikimedia.org/wikipedia/commons/thumb/d/df/WK_74_training_Uruguay_in_Duitsburg%2C_keeper_Mazurkievic_laat_zijn_handen_zien%2C_Bestanddeelnr_927-2464.jpg/250px-WK_74_training_Uruguay_in_Duitsburg%2C_keeper_Mazurkievic_laat_zijn_handen_zien%2C_Bestanddeelnr_927-2464.jpg</t>
  </si>
  <si>
    <t>Juan Peregrino Anselmo</t>
  </si>
  <si>
    <t>4/30/1902</t>
  </si>
  <si>
    <t>https://es.wikipedia.org/wiki/Juan_Peregrino_Anselmo</t>
  </si>
  <si>
    <t>https://upload.wikimedia.org/wikipedia/commons/0/01/Juan_Anselmo.jpg</t>
  </si>
  <si>
    <t>Lucas Torreira</t>
  </si>
  <si>
    <t>2018, 2022</t>
  </si>
  <si>
    <t>Sampdoria, Galatasaray</t>
  </si>
  <si>
    <t>Italia, Turquía</t>
  </si>
  <si>
    <t>https://es.wikipedia.org/wiki/Lucas_Torreira</t>
  </si>
  <si>
    <t>https://upload.wikimedia.org/wikipedia/commons/thumb/e/e9/Lucas_Torreira.jpg/250px-Lucas_Torreira.jpg</t>
  </si>
  <si>
    <t>Luis Alberto Cruz</t>
  </si>
  <si>
    <t>4/28/1925</t>
  </si>
  <si>
    <t>https://es.wikipedia.org/wiki/Luis_Alberto_Cruz</t>
  </si>
  <si>
    <t>https://upload.wikimedia.org/wikipedia/commons/7/7e/Luis_Alberto_Cruz%2C_Estadio%2C_1951-02-24_%28406%29.jpg</t>
  </si>
  <si>
    <t>Luis Cubilla</t>
  </si>
  <si>
    <t>1962, 1970, 1974</t>
  </si>
  <si>
    <t>Peñarol, Nacional</t>
  </si>
  <si>
    <t>3/28/1940</t>
  </si>
  <si>
    <t>https://es.wikipedia.org/wiki/Luis_Cubilla</t>
  </si>
  <si>
    <t>https://upload.wikimedia.org/wikipedia/commons/5/5c/LuisCubilla1984.png</t>
  </si>
  <si>
    <t>Luis Ernesto Castro</t>
  </si>
  <si>
    <t>7/31/1921</t>
  </si>
  <si>
    <t>https://es.wikipedia.org/wiki/Luis_Ernesto_Castro</t>
  </si>
  <si>
    <t>https://upload.wikimedia.org/wikipedia/commons/a/ac/Luis_Ernesto_Castro%2C_Estadio%2C_1948-03-06_%28251%29_%28cropped%29.jpg</t>
  </si>
  <si>
    <t>Luis Garisto</t>
  </si>
  <si>
    <t>https://es.wikipedia.org/wiki/Luis_Garisto</t>
  </si>
  <si>
    <t>https://upload.wikimedia.org/wikipedia/commons/thumb/8/85/Luis_Garisto_%28cropped%29.jpg/250px-Luis_Garisto_%28cropped%29.jpg</t>
  </si>
  <si>
    <t>Luis Maidana</t>
  </si>
  <si>
    <t>2/22/1934</t>
  </si>
  <si>
    <t>https://es.wikipedia.org/wiki/Luis_Maidana</t>
  </si>
  <si>
    <t>https://upload.wikimedia.org/wikipedia/commons/thumb/4/41/Pe%C3%B1arol_-_campeon_de_america_1961.jpg/250px-Pe%C3%B1arol_-_campeon_de_america_1961.jpg</t>
  </si>
  <si>
    <t>Luis Ramos</t>
  </si>
  <si>
    <t>https://es.wikipedia.org/wiki/Luis_Ramos_(futbolista_uruguayo,_1939)</t>
  </si>
  <si>
    <t>https://www.auf.org.uy/imagenes/img_contenido/seleccion_jugador/a/luis_ramos_.jpg</t>
  </si>
  <si>
    <t>Luis Rijo</t>
  </si>
  <si>
    <t>Central</t>
  </si>
  <si>
    <t>9/28/1927</t>
  </si>
  <si>
    <t>https://es.wikipedia.org/wiki/Luis_Rijo</t>
  </si>
  <si>
    <t>https://www.auf.org.uy/imagenes/img_contenido/seleccion_jugador/a/lusirijo222.jpg</t>
  </si>
  <si>
    <t>Luis Suárez</t>
  </si>
  <si>
    <t>Ajax Ámsterdam, Liverpool, Barcelona, Nacional</t>
  </si>
  <si>
    <t>Países Bajos, Inglaterra, España, Uruguay</t>
  </si>
  <si>
    <t>1/24/1987</t>
  </si>
  <si>
    <t>https://es.wikipedia.org/wiki/Luis_Alberto_Suárez</t>
  </si>
  <si>
    <t>https://www.auf.org.uy/imagenes/img_contenido/seleccion_jugador/a/suarez-luis-ct.jpg</t>
  </si>
  <si>
    <t>Luis Ubiña</t>
  </si>
  <si>
    <t>1966, 1970</t>
  </si>
  <si>
    <t>Rampla Juniors, Nacional</t>
  </si>
  <si>
    <t>https://es.wikipedia.org/wiki/Luis_Ubiña</t>
  </si>
  <si>
    <t>https://upload.wikimedia.org/wikipedia/commons/thumb/5/5d/Luis_Ubi%C3%B1a_1970.jpg/250px-Luis_Ubi%C3%B1a_1970.jpg</t>
  </si>
  <si>
    <t>Manuel Ugarte</t>
  </si>
  <si>
    <t>Sporting de Lisboa, Manchester United</t>
  </si>
  <si>
    <t>Portugal, Inglaterra</t>
  </si>
  <si>
    <t>https://es.wikipedia.org/wiki/Manuel_Ugarte_(futbolista)</t>
  </si>
  <si>
    <t>https://upload.wikimedia.org/wikipedia/commons/thumb/2/2e/M.UGARTE.jpg/250px-M.UGARTE.jpg</t>
  </si>
  <si>
    <t>Marcelo Romero</t>
  </si>
  <si>
    <t>https://es.wikipedia.org/wiki/Marcelo_Romero</t>
  </si>
  <si>
    <t>https://www.auf.org.uy/imagenes/img_contenido/seleccion_jugador/a/marcelo_romero_gettyimages.jpg</t>
  </si>
  <si>
    <t>Mario «Bombón» González</t>
  </si>
  <si>
    <t>5/27/1950</t>
  </si>
  <si>
    <t>https://es.wikipedia.org/wiki/Mario_«Bombón»_González</t>
  </si>
  <si>
    <t>https://www.auf.org.uy/imagenes/img_contenido/seleccion_jugador/a/mario_gonzalez_panini.jpg</t>
  </si>
  <si>
    <t>Mario Ludovico Bergara</t>
  </si>
  <si>
    <r>
      <rPr>
        <rFont val="Arial"/>
        <color rgb="FF1155CC"/>
        <sz val="11.0"/>
        <u/>
      </rPr>
      <t>https://en.wikipedia.org/wiki/Mario_Bergara_(footballer)</t>
    </r>
  </si>
  <si>
    <r>
      <rPr>
        <rFont val="Arial"/>
        <color rgb="FF1155CC"/>
        <sz val="11.0"/>
        <u/>
      </rPr>
      <t>https://www.auf.org.uy/imagenes/img_contenido/seleccion_jugador/a/mario_bergara_.jpg</t>
    </r>
  </si>
  <si>
    <t>Mario Omar Méndez</t>
  </si>
  <si>
    <r>
      <rPr>
        <rFont val="Arial"/>
        <color rgb="FF1155CC"/>
        <sz val="11.0"/>
        <u/>
      </rPr>
      <t>https://www.auf.org.uy/mario-mendez/</t>
    </r>
  </si>
  <si>
    <r>
      <rPr>
        <rFont val="Arial"/>
        <color rgb="FF1155CC"/>
        <sz val="11.0"/>
        <u/>
      </rPr>
      <t>https://www.auf.org.uy/imagenes/img_contenido/seleccion_jugador/a/mario_mendez_.jpg</t>
    </r>
  </si>
  <si>
    <t>Mario Regueiro</t>
  </si>
  <si>
    <t>Racing de Santander</t>
  </si>
  <si>
    <t>9/14/1978</t>
  </si>
  <si>
    <t>https://es.wikipedia.org/wiki/Mario_Ignacio_Regueiro</t>
  </si>
  <si>
    <t>https://upload.wikimedia.org/wikipedia/commons/thumb/d/d4/MarioIgnacioRegueiro.jpg/250px-MarioIgnacioRegueiro.jpg</t>
  </si>
  <si>
    <t>Mario Saralegui</t>
  </si>
  <si>
    <t>Elche</t>
  </si>
  <si>
    <t>4/24/1959</t>
  </si>
  <si>
    <t>https://es.wikipedia.org/wiki/Mario_Saralegui</t>
  </si>
  <si>
    <t>https://upload.wikimedia.org/wikipedia/commons/thumb/a/a5/Penarol_v_cobreloa_saralegui.jpg/330px-Penarol_v_cobreloa_saralegui.jpg</t>
  </si>
  <si>
    <t>Martín Cáceres</t>
  </si>
  <si>
    <t>Barcelona, Juventus, Lazio, Los Angeles Galaxy</t>
  </si>
  <si>
    <t>España, Italia, Italia, Estados Unidos</t>
  </si>
  <si>
    <t>https://es.wikipedia.org/wiki/Martín_Cáceres</t>
  </si>
  <si>
    <t>https://upload.wikimedia.org/wikipedia/commons/thumb/f/f8/Uruguay_-_Costa_Rica_FIFA_World_Cup_2014_%E2%80%93_Mart%C3%ADn_C%C3%A1ceres.jpg/330px-Uruguay_-_Costa_Rica_FIFA_World_Cup_2014_%E2%80%93_Mart%C3%ADn_C%C3%A1ceres.jpg</t>
  </si>
  <si>
    <t>Martín Campaña</t>
  </si>
  <si>
    <t>5/29/1989</t>
  </si>
  <si>
    <t>https://es.wikipedia.org/wiki/Martín_Campaña</t>
  </si>
  <si>
    <t>https://upload.wikimedia.org/wikipedia/commons/thumb/5/59/Urug_tren_%284%29_-_%D0%BA%D0%BE%D0%BF%D0%B8%D1%8F.jpg/250px-Urug_tren_%284%29_-_%D0%BA%D0%BE%D0%BF%D0%B8%D1%8F.jpg</t>
  </si>
  <si>
    <t>Martín Silva</t>
  </si>
  <si>
    <t>2010, 2014, 2018</t>
  </si>
  <si>
    <t>Defensor Sporting, Vasco da Gama, Vasco Da Gama</t>
  </si>
  <si>
    <t>Uruguay, Brasil</t>
  </si>
  <si>
    <t>3/25/1983</t>
  </si>
  <si>
    <t>https://es.wikipedia.org/wiki/Martín_Silva</t>
  </si>
  <si>
    <t>https://upload.wikimedia.org/wikipedia/commons/2/25/Martin_Silva_cropped.jpg</t>
  </si>
  <si>
    <t>Mathías Olivera</t>
  </si>
  <si>
    <t>Napoli, Napoli</t>
  </si>
  <si>
    <t>Italia, Italia</t>
  </si>
  <si>
    <t>10/31/1997</t>
  </si>
  <si>
    <t>https://es.wikipedia.org/wiki/Mathías_Olivera</t>
  </si>
  <si>
    <t>https://upload.wikimedia.org/wikipedia/commons/thumb/f/f5/Math%C3%ADas_Olivera_WC2022.jpg/250px-Math%C3%ADas_Olivera_WC2022.jpg</t>
  </si>
  <si>
    <t>Matías González</t>
  </si>
  <si>
    <t>https://es.wikipedia.org/wiki/Matías_González</t>
  </si>
  <si>
    <t>https://upload.wikimedia.org/wikipedia/commons/thumb/3/3d/Mat%C3%ADas_Gonz%C3%A1lez_%28cropped%29.png/250px-Mat%C3%ADas_Gonz%C3%A1lez_%28cropped%29.png</t>
  </si>
  <si>
    <t>Matías Vecino</t>
  </si>
  <si>
    <t>Inter de Milán, Lazio</t>
  </si>
  <si>
    <t>8/24/1991</t>
  </si>
  <si>
    <t>San Jacinto</t>
  </si>
  <si>
    <t>-34.54720</t>
  </si>
  <si>
    <t>-55.87309</t>
  </si>
  <si>
    <t>https://es.wikipedia.org/wiki/Matías_Vecino</t>
  </si>
  <si>
    <t>https://upload.wikimedia.org/wikipedia/commons/thumb/2/23/20171114_AUT_URU_5030.jpg/250px-20171114_AUT_URU_5030.jpg</t>
  </si>
  <si>
    <t>Matías Viña</t>
  </si>
  <si>
    <t>Roma, River Plate</t>
  </si>
  <si>
    <t>Italia, Argentina</t>
  </si>
  <si>
    <t>Empalme Olmos</t>
  </si>
  <si>
    <t>-34.69243</t>
  </si>
  <si>
    <t>-55.89833</t>
  </si>
  <si>
    <t>https://es.wikipedia.org/wiki/Matías_Viña</t>
  </si>
  <si>
    <t>https://upload.wikimedia.org/wikipedia/commons/b/b5/Mat%C3%ADas_Vi%C3%B1a.jpg</t>
  </si>
  <si>
    <t>Mauricio Victorino</t>
  </si>
  <si>
    <t>https://es.wikipedia.org/wiki/Mauricio_Victorino</t>
  </si>
  <si>
    <t>https://upload.wikimedia.org/wikipedia/commons/thumb/2/24/Mauricio_Victorino_%28cropped%29.JPG/250px-Mauricio_Victorino_%28cropped%29.JPG</t>
  </si>
  <si>
    <t>Maxi Gómez</t>
  </si>
  <si>
    <t>Celta de Vigo, Trabzonspor</t>
  </si>
  <si>
    <t>España, Turquía</t>
  </si>
  <si>
    <t>8/14/1996</t>
  </si>
  <si>
    <t>https://es.wikipedia.org/wiki/Maximiliano_Gómez</t>
  </si>
  <si>
    <t>https://upload.wikimedia.org/wikipedia/commons/thumb/5/57/Maxi_Gomez_2020.png/250px-Maxi_Gomez_2020.png</t>
  </si>
  <si>
    <t>Maximiliano Araújo</t>
  </si>
  <si>
    <t>Sporting de Lisboa</t>
  </si>
  <si>
    <t>Portugal</t>
  </si>
  <si>
    <t>2/15/2000</t>
  </si>
  <si>
    <t>https://es.wikipedia.org/wiki/Maximiliano_Ara%C3%BAjo</t>
  </si>
  <si>
    <t>https://www.auf.org.uy/imagenes/img_contenido/seleccion_jugador/a/araujo-maximiliano-ct-1.jpg</t>
  </si>
  <si>
    <t>Maximiliano Pereira</t>
  </si>
  <si>
    <t>Benfica, Benfica, FC Porto</t>
  </si>
  <si>
    <t>Portugal, Portugal, Portugal</t>
  </si>
  <si>
    <t>https://es.wikipedia.org/wiki/Maximiliano_Pereira</t>
  </si>
  <si>
    <t>https://upload.wikimedia.org/wikipedia/commons/thumb/a/ac/Maxi_Pereira.jpg/250px-Maxi_Pereira.jpg</t>
  </si>
  <si>
    <t>Pablo Dorado</t>
  </si>
  <si>
    <t>6/22/1908</t>
  </si>
  <si>
    <t>https://es.wikipedia.org/wiki/Pablo_Dorado</t>
  </si>
  <si>
    <t>https://upload.wikimedia.org/wikipedia/commons/3/31/Pablo_Dorado_%28cropped%29.JPG</t>
  </si>
  <si>
    <t>Miguel Bossio</t>
  </si>
  <si>
    <t>https://es.wikipedia.org/wiki/Miguel_Bossio_(futbolista)</t>
  </si>
  <si>
    <t>https://www.auf.org.uy/imagenes/img_contenido/seleccion_jugador/a/miguel_bossio_getty.jpg</t>
  </si>
  <si>
    <t>Pedro Petrone</t>
  </si>
  <si>
    <t>https://es.wikipedia.org/wiki/Pedro_Petrone</t>
  </si>
  <si>
    <t>https://www.auf.org.uy/imagenes/img_contenido/seleccion_jugador/a/pedro_petrone_2.jpg</t>
  </si>
  <si>
    <t>Milton Viera</t>
  </si>
  <si>
    <t>Rio de Janeiro</t>
  </si>
  <si>
    <t>-22.90684</t>
  </si>
  <si>
    <t>-43.17289</t>
  </si>
  <si>
    <t>https://es.wikipedia.org/wiki/Milton_Viera</t>
  </si>
  <si>
    <t>https://upload.wikimedia.org/wikipedia/commons/thumb/6/65/Milton_Viera_Boca_Juniors.jpg/250px-Milton_Viera_Boca_Juniors.jpg</t>
  </si>
  <si>
    <t>Mirto Davoine</t>
  </si>
  <si>
    <t>2/13/1933</t>
  </si>
  <si>
    <t>https://es.wikipedia.org/wiki/Mirto_Davoine</t>
  </si>
  <si>
    <t>https://www.auf.org.uy/imagenes/img_contenido/seleccion_jugador/a/mirto_davoine_mundo-uruguayo.jpg</t>
  </si>
  <si>
    <t>Nahitan Nández</t>
  </si>
  <si>
    <t>Boca Juniors</t>
  </si>
  <si>
    <t>12/28/1995</t>
  </si>
  <si>
    <t>https://es.wikipedia.org/wiki/Nahitan_Nández</t>
  </si>
  <si>
    <t>https://upload.wikimedia.org/wikipedia/commons/thumb/7/71/Urug_tren_%283%29_-_%D0%BA%D0%BE%D0%BF%D0%B8%D1%8F.jpg/250px-Urug_tren_%283%29_-_%D0%BA%D0%BE%D0%BF%D0%B8%D1%8F.jpg</t>
  </si>
  <si>
    <t>Nelson Diaz</t>
  </si>
  <si>
    <r>
      <rPr>
        <rFont val="Arial"/>
        <color rgb="FF1155CC"/>
        <sz val="11.0"/>
        <u/>
      </rPr>
      <t>https://en.wikipedia.org/wiki/Nelson_D%C3%ADaz_(footballer)</t>
    </r>
  </si>
  <si>
    <r>
      <rPr>
        <rFont val="Arial"/>
        <color rgb="FF1155CC"/>
        <sz val="11.0"/>
        <u/>
      </rPr>
      <t>https://www.auf.org.uy/imagenes/img_contenido/seleccion_jugador/a/nelson_diaz_.jpg</t>
    </r>
  </si>
  <si>
    <t>Nelson Gutiérrez</t>
  </si>
  <si>
    <t>River Plate, Verona</t>
  </si>
  <si>
    <t>Argentina, Italia</t>
  </si>
  <si>
    <t>4/13/1962</t>
  </si>
  <si>
    <t>https://es.wikipedia.org/wiki/Nelson_Gutiérrez</t>
  </si>
  <si>
    <t>https://upload.wikimedia.org/wikipedia/commons/thumb/e/e0/Nelson_Guti%C3%A9rrez_in_1986_after_winning_the_1986_Intercontinental_Cup.jpg/250px-Nelson_Guti%C3%A9rrez_in_1986_after_winning_the_1986_Intercontinental_Cup.jpg</t>
  </si>
  <si>
    <t>Néstor Carballo</t>
  </si>
  <si>
    <t>Aires Puros, Montevideo</t>
  </si>
  <si>
    <t>-34.85386</t>
  </si>
  <si>
    <t>-56.18957</t>
  </si>
  <si>
    <r>
      <rPr>
        <rFont val="Arial"/>
        <color rgb="FF1155CC"/>
        <sz val="11.0"/>
        <u/>
      </rPr>
      <t>https://www.auf.org.uy/nestor-carballo/</t>
    </r>
  </si>
  <si>
    <r>
      <rPr>
        <rFont val="Arial"/>
        <color rgb="FF1155CC"/>
        <sz val="11.0"/>
        <u/>
      </rPr>
      <t>https://www.auf.org.uy/imagenes/img_contenido/seleccion_jugador/a/nestor_carballo_.jpg</t>
    </r>
  </si>
  <si>
    <t>Néstor Gonçalves</t>
  </si>
  <si>
    <t>4/27/1936</t>
  </si>
  <si>
    <t>Baltasar Brum, Artigas</t>
  </si>
  <si>
    <t>-30.72183</t>
  </si>
  <si>
    <t>-57.32838</t>
  </si>
  <si>
    <t>https://es.wikipedia.org/wiki/Néstor_Gonçalves</t>
  </si>
  <si>
    <t>https://upload.wikimedia.org/wikipedia/commons/thumb/6/6c/N%C3%A9stor_Goncalves.jpg/250px-N%C3%A9stor_Goncalves.jpg</t>
  </si>
  <si>
    <t>Nicolás de la Cruz</t>
  </si>
  <si>
    <t>River Plate, Flamengo</t>
  </si>
  <si>
    <t>Argentina, Brasil</t>
  </si>
  <si>
    <t>https://es.wikipedia.org/wiki/Nicolás_de_la_Cruz_Arcosa</t>
  </si>
  <si>
    <t>https://upload.wikimedia.org/wikipedia/commons/thumb/0/0c/Nicol%C3%A1s_de_la_Cruz.jpg/250px-Nicol%C3%A1s_de_la_Cruz.jpg</t>
  </si>
  <si>
    <t>Nicolás Lodeiro</t>
  </si>
  <si>
    <t>Ajax Ámsterdam, Botafogo</t>
  </si>
  <si>
    <t>Países Bajos, Brasil</t>
  </si>
  <si>
    <t>3/21/1989</t>
  </si>
  <si>
    <t>https://es.wikipedia.org/wiki/Nicolás_Lodeiro</t>
  </si>
  <si>
    <t>https://upload.wikimedia.org/wikipedia/commons/thumb/2/27/Nicol%C3%A1s_Lodeiro_2017.jpg/250px-Nicol%C3%A1s_Lodeiro_2017.jpg</t>
  </si>
  <si>
    <t>Nicolás Olivera</t>
  </si>
  <si>
    <t>Sevilla</t>
  </si>
  <si>
    <t>5/30/1978</t>
  </si>
  <si>
    <t>https://es.wikipedia.org/wiki/Nicolás_Olivera</t>
  </si>
  <si>
    <t>https://www.auf.org.uy/imagenes/img_contenido/seleccion_jugador/a/nicolas_olivera_pa.jpg</t>
  </si>
  <si>
    <t>Obdulio Varela</t>
  </si>
  <si>
    <t>9/20/1917</t>
  </si>
  <si>
    <t>https://es.wikipedia.org/wiki/Obdulio_Varela</t>
  </si>
  <si>
    <t>https://upload.wikimedia.org/wikipedia/commons/thumb/a/aa/FIFA_logo_without_slogan.svg/40px-FIFA_logo_without_slogan.svg.png</t>
  </si>
  <si>
    <t>Omar Caetano</t>
  </si>
  <si>
    <r>
      <rPr>
        <rFont val="Arial"/>
        <color rgb="FF1155CC"/>
        <sz val="11.0"/>
        <u/>
      </rPr>
      <t>https://es.wikipedia.org/wiki/Omar_Caetano</t>
    </r>
  </si>
  <si>
    <r>
      <rPr>
        <rFont val="Arial"/>
        <color rgb="FF1155CC"/>
        <sz val="11.0"/>
        <u/>
      </rPr>
      <t>https://www.auf.org.uy/imagenes/img_contenido/seleccion_jugador/a/omar_caetano.jpg</t>
    </r>
  </si>
  <si>
    <t>Omar Méndez</t>
  </si>
  <si>
    <t>San José de Mayo</t>
  </si>
  <si>
    <t>San José</t>
  </si>
  <si>
    <t>-34.33913</t>
  </si>
  <si>
    <t>-56.71461</t>
  </si>
  <si>
    <t>https://es.wikipedia.org/wiki/Omar_Méndez</t>
  </si>
  <si>
    <t>https://www.auf.org.uy/imagenes/img_contenido/seleccion_jugador/a/omar_pedro_mendez_.jpg</t>
  </si>
  <si>
    <t>Óscar Míguez</t>
  </si>
  <si>
    <t>https://es.wikipedia.org/wiki/Óscar_Míguez</t>
  </si>
  <si>
    <t>https://upload.wikimedia.org/wikipedia/commons/c/c4/%C3%93scar_M%C3%ADguez%2C_Estadio%2C_1955-04-02_%28620%29.jpg</t>
  </si>
  <si>
    <t>Oscar Zubía</t>
  </si>
  <si>
    <t>https://es.wikipedia.org/wiki/Oscar_Zubía</t>
  </si>
  <si>
    <t>https://upload.wikimedia.org/wikipedia/commons/2/2a/%C3%93scar_Zub%C3%ADa.jpg</t>
  </si>
  <si>
    <t>Pablo Bengoechea</t>
  </si>
  <si>
    <t>6/27/1965</t>
  </si>
  <si>
    <t>https://es.wikipedia.org/wiki/Pablo_Bengoechea</t>
  </si>
  <si>
    <t>https://upload.wikimedia.org/wikipedia/commons/thumb/c/c0/Pablo_Bengoechea_DT.jpg/330px-Pablo_Bengoechea_DT.jpg</t>
  </si>
  <si>
    <t>Santos Urdinarán</t>
  </si>
  <si>
    <t>3/30/1900</t>
  </si>
  <si>
    <t>https://es.wikipedia.org/wiki/Santos_Urdinarán</t>
  </si>
  <si>
    <t>https://www.auf.org.uy/imagenes/img_contenido/seleccion_jugador/a/santos_urdinaran.jpg</t>
  </si>
  <si>
    <t>Pablo Forlán</t>
  </si>
  <si>
    <t>1966, 1974</t>
  </si>
  <si>
    <t>Peñarol, Sao Paulo</t>
  </si>
  <si>
    <t>7/14/1945</t>
  </si>
  <si>
    <t>https://es.wikipedia.org/wiki/Pablo_Forlán</t>
  </si>
  <si>
    <t>https://www.auf.org.uy/imagenes/img_contenido/seleccion_jugador/a/pablo_forlan_.jpg</t>
  </si>
  <si>
    <t>Pablo García</t>
  </si>
  <si>
    <t>Joaquín Suárez</t>
  </si>
  <si>
    <t>-34.73379</t>
  </si>
  <si>
    <t>-56.03274</t>
  </si>
  <si>
    <t>https://es.wikipedia.org/wiki/Pablo_Gabriel_García_Pérez</t>
  </si>
  <si>
    <t>https://upload.wikimedia.org/wikipedia/commons/thumb/e/ef/Pablogarcia.JPG/250px-Pablogarcia.JPG</t>
  </si>
  <si>
    <t>Paolo Montero</t>
  </si>
  <si>
    <t>https://es.wikipedia.org/wiki/Paolo_Montero</t>
  </si>
  <si>
    <t>https://upload.wikimedia.org/wikipedia/commons/thumb/4/45/Paolo_Montero.jpg/330px-Paolo_Montero.jpg</t>
  </si>
  <si>
    <t>Pedro Cubilla</t>
  </si>
  <si>
    <t>Rampla Juniors</t>
  </si>
  <si>
    <t>8/25/1933</t>
  </si>
  <si>
    <t>https://es.wikipedia.org/wiki/Pedro_Cubilla</t>
  </si>
  <si>
    <t>https://www.auf.org.uy/imagenes/img_contenido/seleccion_jugador/a/pedro_cubilla_.jpg</t>
  </si>
  <si>
    <t>Victoriano Santos Iriarte</t>
  </si>
  <si>
    <t>Racing Club</t>
  </si>
  <si>
    <t>https://es.wikipedia.org/wiki/Victoriano_Santos_Iriarte</t>
  </si>
  <si>
    <t>https://upload.wikimedia.org/wikipedia/commons/3/37/Santos_Iriarte_%28cropped%29.JPG</t>
  </si>
  <si>
    <t>Pedro Rocha</t>
  </si>
  <si>
    <t>https://es.wikipedia.org/wiki/Pedro_Rocha</t>
  </si>
  <si>
    <t>https://upload.wikimedia.org/wikipedia/commons/thumb/3/31/Pedro_Rocha_c1966b.jpg/250px-Pedro_Rocha_c1966b.jpg</t>
  </si>
  <si>
    <t>https://es.wikipedia.org/wiki/Pedro_Virgilio_Rocha</t>
  </si>
  <si>
    <t>Rafael Souto</t>
  </si>
  <si>
    <t>10/24/1929</t>
  </si>
  <si>
    <t>https://es.wikipedia.org/wiki/Rafael_Souto</t>
  </si>
  <si>
    <t>https://www.auf.org.uy/imagenes/img_contenido/seleccion_jugador/a/rafael-souto.jpeg</t>
  </si>
  <si>
    <t>Ricardo Pavoni</t>
  </si>
  <si>
    <t>https://es.wikipedia.org/wiki/Ricardo_Pavoni</t>
  </si>
  <si>
    <t>https://upload.wikimedia.org/wikipedia/commons/thumb/5/5f/Ricardo_Elbio_Pavoni.jpg/250px-Ricardo_Elbio_Pavoni.jpg</t>
  </si>
  <si>
    <t>Richard Morales</t>
  </si>
  <si>
    <t>2/21/1975</t>
  </si>
  <si>
    <t>https://es.wikipedia.org/wiki/Richard_Morales</t>
  </si>
  <si>
    <t>https://www.auf.org.uy/imagenes/img_contenido/seleccion_jugador/a/richard_morales_pa.jpg</t>
  </si>
  <si>
    <t>Roberto Leopardi</t>
  </si>
  <si>
    <t>7/19/1933</t>
  </si>
  <si>
    <r>
      <rPr>
        <rFont val="Arial"/>
        <color rgb="FF1155CC"/>
        <sz val="11.0"/>
        <u/>
      </rPr>
      <t>https://www.auf.org.uy/roberto-leopardi/</t>
    </r>
  </si>
  <si>
    <r>
      <rPr>
        <rFont val="Arial"/>
        <color rgb="FF1155CC"/>
        <sz val="11.0"/>
        <u/>
      </rPr>
      <t>https://www.auf.org.uy/imagenes/img_contenido/seleccion_jugador/a/roberto_leopardi_2.jpg</t>
    </r>
  </si>
  <si>
    <t>Roberto Matosas</t>
  </si>
  <si>
    <t>https://es.wikipedia.org/wiki/Roberto_Matosas</t>
  </si>
  <si>
    <t>https://upload.wikimedia.org/wikipedia/commons/thumb/7/7c/Roberto_Matosas_%28River%29_-_El_Gr%C3%A1fico_2490.jpg/250px-Roberto_Matosas_%28River%29_-_El_Gr%C3%A1fico_2490.jpg</t>
  </si>
  <si>
    <t>Roberto Sosa</t>
  </si>
  <si>
    <t>6/14/1935</t>
  </si>
  <si>
    <t>San Carlos</t>
  </si>
  <si>
    <t>-34.78855</t>
  </si>
  <si>
    <t>-54.92082</t>
  </si>
  <si>
    <t>https://es.wikipedia.org/wiki/Roberto_Eduardo_Sosa</t>
  </si>
  <si>
    <t>https://upload.wikimedia.org/wikipedia/commons/thumb/d/da/Roberto_Eliseo_Sosa.jpg/250px-Roberto_Eliseo_Sosa.jpg</t>
  </si>
  <si>
    <t>Rodolfo Pini</t>
  </si>
  <si>
    <t>https://es.wikipedia.org/wiki/Rodolfo_Pini</t>
  </si>
  <si>
    <t>https://www.auf.org.uy/imagenes/img_contenido/seleccion_jugador/a/rodolfo_pini_.jpg</t>
  </si>
  <si>
    <t>Rodolfo Rodríguez</t>
  </si>
  <si>
    <t>Santos</t>
  </si>
  <si>
    <t>1/20/1956</t>
  </si>
  <si>
    <t>https://es.wikipedia.org/wiki/Rodolfo_Rodríguez</t>
  </si>
  <si>
    <t>https://upload.wikimedia.org/wikipedia/commons/thumb/3/37/RodolfoRodr%C3%ADguez-Mundialito1980.jpg/250px-RodolfoRodr%C3%ADguez-Mundialito1980.jpg</t>
  </si>
  <si>
    <t>Rodolfo Sandoval</t>
  </si>
  <si>
    <r>
      <rPr>
        <rFont val="Arial"/>
        <color rgb="FF1155CC"/>
        <sz val="11.0"/>
        <u/>
      </rPr>
      <t>https://en.wikipedia.org/wiki/Rodolfo_Sandoval</t>
    </r>
  </si>
  <si>
    <r>
      <rPr>
        <rFont val="Arial"/>
        <color rgb="FF1155CC"/>
        <sz val="11.0"/>
        <u/>
      </rPr>
      <t>https://upload.wikimedia.org/wikipedia/commons/thumb/5/54/Rodolfo_Sandoval.png/500px-Rodolfo_Sandoval.png</t>
    </r>
  </si>
  <si>
    <t>Rodrigo Aguirre Soto</t>
  </si>
  <si>
    <t>Tigres</t>
  </si>
  <si>
    <t>https://es.wikipedia.org/wiki/Rodrigo_Aguirre_Soto</t>
  </si>
  <si>
    <t>https://www.auf.org.uy/imagenes/img_contenido/seleccion_jugador/a/raguirre.png</t>
  </si>
  <si>
    <t>Rodrigo Bentancur</t>
  </si>
  <si>
    <t>Juventus, Tottenham Hotspur, Tottenham Hotspur</t>
  </si>
  <si>
    <t>Italia, Inglaterra, Inglaterra</t>
  </si>
  <si>
    <t>6/25/1997</t>
  </si>
  <si>
    <t>https://es.wikipedia.org/wiki/Rodrigo_Bentancur</t>
  </si>
  <si>
    <t>https://upload.wikimedia.org/wikipedia/commons/thumb/c/c8/20171114_AUT_URU_4518_-_Rodrigo_Bentancur_%28cropped%29_2.jpg/250px-20171114_AUT_URU_4518_-_Rodrigo_Bentancur_%28cropped%29_2.jpg</t>
  </si>
  <si>
    <t>Rodrigo Muñoz</t>
  </si>
  <si>
    <t>Libertad</t>
  </si>
  <si>
    <t>Paraguay</t>
  </si>
  <si>
    <t>1/22/1982</t>
  </si>
  <si>
    <t>https://es.wikipedia.org/wiki/Rodrigo_Muñoz_(futbolista)</t>
  </si>
  <si>
    <t>https://upload.wikimedia.org/wikipedia/commons/thumb/3/3f/Rodrigo_Mu%C3%B1oz.jpg/250px-Rodrigo_Mu%C3%B1oz.jpg</t>
  </si>
  <si>
    <t>Rodrigo Zalazar</t>
  </si>
  <si>
    <t>Braga</t>
  </si>
  <si>
    <t>Albacete</t>
  </si>
  <si>
    <t>38.99439</t>
  </si>
  <si>
    <t>-1.86017</t>
  </si>
  <si>
    <t>https://es.wikipedia.org/wiki/Rodrigo_Zalazar</t>
  </si>
  <si>
    <t>https://www.auf.org.uy/imagenes/img_contenido/seleccion_jugador/a/zalazarrrrr.jpg</t>
  </si>
  <si>
    <t>Ronald Araújo</t>
  </si>
  <si>
    <t>Barcelona, Barcelona</t>
  </si>
  <si>
    <t>https://es.wikipedia.org/wiki/Ronald_Araújo</t>
  </si>
  <si>
    <t>https://upload.wikimedia.org/wikipedia/commons/thumb/3/3f/FC_Red_Bull_Salzburg_gegen_CF_Barcelona_%28Testspiel_4._August_2021%29_45_%28cropped%29.jpg/250px-FC_Red_Bull_Salzburg_gegen_CF_Barcelona_%28Testspiel_4._August_2021%29_45_%28cropped%29.jpg</t>
  </si>
  <si>
    <t>Ronald Langón</t>
  </si>
  <si>
    <t>11/27/1940</t>
  </si>
  <si>
    <t>Melo</t>
  </si>
  <si>
    <t>Cerro Largo</t>
  </si>
  <si>
    <t>-32.36910</t>
  </si>
  <si>
    <t>-54.16423</t>
  </si>
  <si>
    <r>
      <rPr>
        <rFont val="Arial"/>
        <color rgb="FF1155CC"/>
        <sz val="11.0"/>
        <u/>
      </rPr>
      <t>https://atilio.uy/jugador:986</t>
    </r>
  </si>
  <si>
    <r>
      <rPr>
        <rFont val="Arial"/>
        <color rgb="FF1155CC"/>
        <sz val="11.0"/>
        <u/>
      </rPr>
      <t>https://www.auf.org.uy/imagenes/img_contenido/seleccion_jugador/a/ronald_langon_.jpg</t>
    </r>
  </si>
  <si>
    <t>Roque Gastón Máspoli</t>
  </si>
  <si>
    <t>https://es.wikipedia.org/wiki/Roque_Gastón_Máspoli</t>
  </si>
  <si>
    <t>https://upload.wikimedia.org/wikipedia/commons/thumb/d/d0/Roque_maspoli_posando.jpg/330px-Roque_maspoli_posando.jpg</t>
  </si>
  <si>
    <t>Ruben Bareño</t>
  </si>
  <si>
    <t>1/23/1944</t>
  </si>
  <si>
    <t>https://es.wikipedia.org/wiki/Ruben_Bareño</t>
  </si>
  <si>
    <t>https://upload.wikimedia.org/wikipedia/commons/thumb/2/22/R%C3%BAben_Bare%C3%B1o.png/250px-R%C3%BAben_Bare%C3%B1o.png</t>
  </si>
  <si>
    <t>Rubén Corbo</t>
  </si>
  <si>
    <t>1/20/1952</t>
  </si>
  <si>
    <t>https://es.wikipedia.org/wiki/Rubén_Corbo</t>
  </si>
  <si>
    <r>
      <rPr>
        <rFont val="Arial"/>
        <color rgb="FF1155CC"/>
        <sz val="11.0"/>
        <u/>
      </rPr>
      <t>https://www.auf.org.uy/imagenes/img_contenido/seleccion_jugador/a/ruben_romeo_corbo_.jpg</t>
    </r>
  </si>
  <si>
    <t>Rubén González</t>
  </si>
  <si>
    <t>7/17/1939</t>
  </si>
  <si>
    <r>
      <rPr>
        <rFont val="Arial"/>
        <color rgb="FF1155CC"/>
        <sz val="11.0"/>
        <u/>
      </rPr>
      <t>https://www.auf.org.uy/ruben-gonzalez/</t>
    </r>
  </si>
  <si>
    <r>
      <rPr>
        <rFont val="Arial"/>
        <color rgb="FF1155CC"/>
        <sz val="11.0"/>
        <u/>
      </rPr>
      <t>https://www.auf.org.uy/imagenes/img_contenido/seleccion_jugador/a/ruben_gonzalez_.jpg</t>
    </r>
  </si>
  <si>
    <t>Ruben Moran</t>
  </si>
  <si>
    <t>https://es.wikipedia.org/wiki/Ruben_Moran</t>
  </si>
  <si>
    <t>https://upload.wikimedia.org/wikipedia/commons/thumb/c/cb/Ruben_Moran_-_1950.jpg/250px-Ruben_Moran_-_1950.jpg</t>
  </si>
  <si>
    <t>Rubén Paz</t>
  </si>
  <si>
    <t>Internacional, Genoa</t>
  </si>
  <si>
    <t>Brasil, Italia</t>
  </si>
  <si>
    <t>https://es.wikipedia.org/wiki/Rubén_Paz</t>
  </si>
  <si>
    <t>https://upload.wikimedia.org/wikipedia/commons/thumb/1/18/Ruben_paz_racing2.jpg/250px-Ruben_paz_racing2.jpg</t>
  </si>
  <si>
    <t>Rubén Pereira</t>
  </si>
  <si>
    <t>1/28/1968</t>
  </si>
  <si>
    <t>https://es.wikipedia.org/wiki/Rubén_Pereira</t>
  </si>
  <si>
    <t>https://www.auf.org.uy/imagenes/img_contenido/seleccion_jugador/a/ruben_pereira_un.jpg</t>
  </si>
  <si>
    <t>Rubén Soria</t>
  </si>
  <si>
    <t>1/23/1935</t>
  </si>
  <si>
    <r>
      <rPr>
        <rFont val="Arial"/>
        <color rgb="FF1155CC"/>
        <sz val="11.0"/>
        <u/>
      </rPr>
      <t>https://pbs.twimg.com/media/EPA0CpHX0AEM-XH.jpg</t>
    </r>
  </si>
  <si>
    <t>Rubén Sosa</t>
  </si>
  <si>
    <t>4/25/1966</t>
  </si>
  <si>
    <t>https://es.wikipedia.org/wiki/Rubén_Sosa</t>
  </si>
  <si>
    <t>https://www.auf.org.uy/imagenes/img_contenido/seleccion_jugador/a/sosaruben.jpg</t>
  </si>
  <si>
    <t>Santiago Bueno</t>
  </si>
  <si>
    <t>Wolverhampton</t>
  </si>
  <si>
    <t>https://es.wikipedia.org/wiki/Santiago_Bueno</t>
  </si>
  <si>
    <t>https://www.auf.org.uy/imagenes/img_contenido/seleccion_jugador/a/bueno.png</t>
  </si>
  <si>
    <t>Santiago Mele</t>
  </si>
  <si>
    <t>https://es.wikipedia.org/wiki/Santiago_Mele</t>
  </si>
  <si>
    <t>https://www.auf.org.uy/imagenes/img_contenido/seleccion_jugador/a/mele-santiago-ct.jpg</t>
  </si>
  <si>
    <t>Santiago Ostolaza</t>
  </si>
  <si>
    <t>Cruz Azul</t>
  </si>
  <si>
    <t>Dolores</t>
  </si>
  <si>
    <t>-33.53315</t>
  </si>
  <si>
    <t>-58.21560</t>
  </si>
  <si>
    <r>
      <rPr>
        <rFont val="Arial"/>
        <color rgb="FF1155CC"/>
        <sz val="11.0"/>
        <u/>
      </rPr>
      <t>https://es.wikipedia.org/wiki/Santiago_Ostolaza</t>
    </r>
  </si>
  <si>
    <t>https://www.auf.org.uy/imagenes/img_contenido/seleccion_jugador/a/ostolazasantiago.jpg</t>
  </si>
  <si>
    <t>Zoilo Saldombide</t>
  </si>
  <si>
    <t>10/26/1903</t>
  </si>
  <si>
    <t>Santa Lucía</t>
  </si>
  <si>
    <t>-34.45371</t>
  </si>
  <si>
    <t>-56.39298</t>
  </si>
  <si>
    <t>https://es.wikipedia.org/wiki/Zoilo_Saldombide</t>
  </si>
  <si>
    <t>https://www.auf.org.uy/imagenes/img_contenido/seleccion_jugador/a/zoilo_saldombide_.jpg</t>
  </si>
  <si>
    <t>Schubert Gambetta</t>
  </si>
  <si>
    <t>4/14/1920</t>
  </si>
  <si>
    <t>https://es.wikipedia.org/wiki/Schubert_Gambetta</t>
  </si>
  <si>
    <t>Sebastián Abreu</t>
  </si>
  <si>
    <t>2002, 2010</t>
  </si>
  <si>
    <t>Cruz Azul, Botafogo</t>
  </si>
  <si>
    <t>10/17/1976</t>
  </si>
  <si>
    <t>Minas</t>
  </si>
  <si>
    <t>Lavalleja</t>
  </si>
  <si>
    <t>-34.37563</t>
  </si>
  <si>
    <t>-55.23689</t>
  </si>
  <si>
    <t>https://es.wikipedia.org/wiki/Sebastián_Abreu</t>
  </si>
  <si>
    <t>https://upload.wikimedia.org/wikipedia/commons/thumb/7/7c/SEBASTIAN_ABREU_%2816846564431%29_%28cropped%29.jpg/500px-SEBASTIAN_ABREU_%2816846564431%29_%28cropped%29.jpg</t>
  </si>
  <si>
    <t>Sebastián Cáceres</t>
  </si>
  <si>
    <t>https://es.wikipedia.org/wiki/Sebasti%C3%A1n_C%C3%A1ceres</t>
  </si>
  <si>
    <t>https://www.auf.org.uy/imagenes/img_contenido/seleccion_jugador/a/caceres-sebastian-ct-1.jpg</t>
  </si>
  <si>
    <t>Sebastián Coates</t>
  </si>
  <si>
    <t>2014, 2018, 2022</t>
  </si>
  <si>
    <t>Nacional, Sporting de Lisboa</t>
  </si>
  <si>
    <t>Uruguay, Portugal</t>
  </si>
  <si>
    <t>https://es.wikipedia.org/wiki/Sebastián_Coates</t>
  </si>
  <si>
    <t>https://upload.wikimedia.org/wikipedia/commons/thumb/0/0f/SELECCI%C3%93N_URUGUAY_%2822557495689%29_%28cropped%29.jpg/250px-SELECCI%C3%93N_URUGUAY_%2822557495689%29_%28cropped%29.jpg</t>
  </si>
  <si>
    <t>Sebastián Eguren</t>
  </si>
  <si>
    <t>AIK</t>
  </si>
  <si>
    <t>Suecia</t>
  </si>
  <si>
    <t>https://es.wikipedia.org/wiki/Sebastián_Eguren</t>
  </si>
  <si>
    <t>https://upload.wikimedia.org/wikipedia/commons/thumb/1/17/Sebasti%C3%A1n_Eguren_2013.jpg/250px-Sebasti%C3%A1n_Eguren_2013.jpg</t>
  </si>
  <si>
    <t>Sebastián Fernández</t>
  </si>
  <si>
    <t>Banfield</t>
  </si>
  <si>
    <t>5/23/1985</t>
  </si>
  <si>
    <t>https://es.wikipedia.org/wiki/Sebastián_Fernández</t>
  </si>
  <si>
    <t>https://upload.wikimedia.org/wikipedia/commons/e/ec/Malaga_trenning_%283%29.jpg</t>
  </si>
  <si>
    <t>Sebastián Sosa</t>
  </si>
  <si>
    <t>8/19/1986</t>
  </si>
  <si>
    <t>https://es.wikipedia.org/wiki/Sebastián_Sosa</t>
  </si>
  <si>
    <t>https://upload.wikimedia.org/wikipedia/commons/2/28/Sebasti%C3%A1n_Sosa.jpg</t>
  </si>
  <si>
    <t>Sergio Martínez</t>
  </si>
  <si>
    <t>2/15/1969</t>
  </si>
  <si>
    <t>https://es.wikipedia.org/wiki/Sergio_Daniel_Martínez</t>
  </si>
  <si>
    <t>https://www.auf.org.uy/imagenes/img_contenido/seleccion_jugador/a/sergio_martinez_un.jpg</t>
  </si>
  <si>
    <t>Sergio Rochet</t>
  </si>
  <si>
    <t>Nacional, Sport Club Internacional</t>
  </si>
  <si>
    <t>3/23/1993</t>
  </si>
  <si>
    <t>https://es.wikipedia.org/wiki/Sergio_Rochet</t>
  </si>
  <si>
    <t>https://upload.wikimedia.org/wikipedia/commons/thumb/b/bc/Sergio_Rochet_%282022%29.jpg/250px-Sergio_Rochet_%282022%29.jpg</t>
  </si>
  <si>
    <t>Sergio Santín</t>
  </si>
  <si>
    <t>Atlético Nacional</t>
  </si>
  <si>
    <t>https://es.wikipedia.org/wiki/Sergio_Santín</t>
  </si>
  <si>
    <t>https://www.auf.org.uy/imagenes/img_contenido/seleccion_jugador/a/sergio_santin_un2.jpg</t>
  </si>
  <si>
    <t>Urbano Rivera</t>
  </si>
  <si>
    <r>
      <rPr>
        <rFont val="Arial"/>
        <color rgb="FF1155CC"/>
        <sz val="11.0"/>
        <u/>
      </rPr>
      <t>https://www.auf.org.uy/urbano-rivera/</t>
    </r>
  </si>
  <si>
    <r>
      <rPr>
        <rFont val="Arial"/>
        <color rgb="FF1155CC"/>
        <sz val="11.0"/>
        <u/>
      </rPr>
      <t>https://www.auf.org.uy/imagenes/img_contenido/seleccion_jugador/a/urbano-rivera.jpeg</t>
    </r>
  </si>
  <si>
    <t>Venancio Ramos</t>
  </si>
  <si>
    <t>Lens</t>
  </si>
  <si>
    <t>6/20/1959</t>
  </si>
  <si>
    <t>Pueblo Yacaré (Bernabé Rivera)</t>
  </si>
  <si>
    <t>-30.29784</t>
  </si>
  <si>
    <t>-56.97014</t>
  </si>
  <si>
    <t>https://es.wikipedia.org/wiki/Venancio_Ramos</t>
  </si>
  <si>
    <t>https://www.auf.org.uy/imagenes/img_contenido/seleccion_jugador/a/venancio_ramos_.jpg</t>
  </si>
  <si>
    <t>Víctor Diogo</t>
  </si>
  <si>
    <t>https://es.wikipedia.org/wiki/Víctor_Diogo</t>
  </si>
  <si>
    <t>https://www.auf.org.uy/imagenes/img_contenido/seleccion_jugador/a/victor_diogo_.jpg</t>
  </si>
  <si>
    <t>Víctor Espárrago</t>
  </si>
  <si>
    <t>Nacional, Sevilla</t>
  </si>
  <si>
    <t>https://es.wikipedia.org/wiki/Víctor_Espárrago</t>
  </si>
  <si>
    <t>https://upload.wikimedia.org/wikipedia/commons/thumb/f/f3/V%C3%ADctor_Esp%C3%A1rrago_%281972%29.png/250px-V%C3%ADctor_Esp%C3%A1rrago_%281972%29.png</t>
  </si>
  <si>
    <t>Víctor Rodríguez Andrade</t>
  </si>
  <si>
    <t>Central, Peñarol</t>
  </si>
  <si>
    <t>Barrio Sur, Montevideo</t>
  </si>
  <si>
    <t>-34.91087</t>
  </si>
  <si>
    <t>-56.18818</t>
  </si>
  <si>
    <t>https://es.wikipedia.org/wiki/Víctor_Rodríguez_Andrade</t>
  </si>
  <si>
    <t>https://upload.wikimedia.org/wikipedia/commons/thumb/f/f8/V%C3%ADctor_Rodr%C3%ADguez_Andrade%2C_Estadio%2C_1952-04-12_%28465%29.jpg/250px-V%C3%ADctor_Rodr%C3%ADguez_Andrade%2C_Estadio%2C_1952-04-12_%28465%29.jpg</t>
  </si>
  <si>
    <t>Enrique Ballesteros</t>
  </si>
  <si>
    <t>1/18/1905</t>
  </si>
  <si>
    <t>https://es.wikipedia.org/wiki/Enrique_Ballesteros</t>
  </si>
  <si>
    <t>https://blogger.googleusercontent.com/img/b/R29vZ2xl/AVvXsEjdTtnKYV3-DtRQ10b1hNPtwqrOi4NyjEt3_tY1eQAU2biLKjDzswiz4IMSC73y78aHergnCmxKqBoarc9-zLbD8Ui6Uf873gKkQIQiI9bsre-QS0MS2qCqK7_I7VZH_0f4UQt6s4736MLo/s320/ballesteros.jpg</t>
  </si>
  <si>
    <t>Walter Corbo</t>
  </si>
  <si>
    <t>https://es.wikipedia.org/wiki/Walter_Corbo</t>
  </si>
  <si>
    <t>https://upload.wikimedia.org/wikipedia/commons/thumb/b/b0/Walter_Corbo.jpg/250px-Walter_Corbo.jpg</t>
  </si>
  <si>
    <t>Walter Gargano</t>
  </si>
  <si>
    <t>Napoli, Parma FC</t>
  </si>
  <si>
    <t>7/23/1984</t>
  </si>
  <si>
    <t>https://es.wikipedia.org/wiki/Walter_Gargano</t>
  </si>
  <si>
    <t>https://upload.wikimedia.org/wikipedia/commons/thumb/c/c3/Walter_Gargano_-_SSC_Neapel_%283%29.jpg/250px-Walter_Gargano_-_SSC_Neapel_%283%29.jpg</t>
  </si>
  <si>
    <t>Walter Mantegazza</t>
  </si>
  <si>
    <t>6/17/1952</t>
  </si>
  <si>
    <t>https://es.wikipedia.org/wiki/Walter_Mantegazza</t>
  </si>
  <si>
    <t>https://www.auf.org.uy/imagenes/img_contenido/seleccion_jugador/a/walter_mantegazza_anefo.jpg</t>
  </si>
  <si>
    <t>Walter Taibo</t>
  </si>
  <si>
    <t>https://es.wikipedia.org/wiki/Walter_Taibo</t>
  </si>
  <si>
    <t>https://www.auf.org.uy/imagenes/img_contenido/seleccion_jugador/a/walter_taibo_.jpg</t>
  </si>
  <si>
    <t>Washington Ortuño</t>
  </si>
  <si>
    <t>5/13/1928</t>
  </si>
  <si>
    <t>https://es.wikipedia.org/wiki/Washington_Ortuño</t>
  </si>
  <si>
    <t>https://www.auf.org.uy/imagenes/img_contenido/seleccion_jugador/a/washington_ortuno_.jpg</t>
  </si>
  <si>
    <t>William Castro</t>
  </si>
  <si>
    <t>5/22/1962</t>
  </si>
  <si>
    <t>https://es.wikipedia.org/wiki/William_Castro</t>
  </si>
  <si>
    <t>https://www.auf.org.uy/imagenes/img_contenido/seleccion_jugador/a/william_castro_un.jpg</t>
  </si>
  <si>
    <t>William Martínez</t>
  </si>
  <si>
    <t>1950, 1954, 1962</t>
  </si>
  <si>
    <t>Rampla Juniors, Peñarol</t>
  </si>
  <si>
    <t>1/13/1928</t>
  </si>
  <si>
    <t>https://es.wikipedia.org/wiki/William_Martínez</t>
  </si>
  <si>
    <t>https://upload.wikimedia.org/wikipedia/commons/1/14/William_Mart%C3%ADnez%2C_Estadio%2C_1955-03-12_%28617%29_%28cropped%29.jpg</t>
  </si>
  <si>
    <t>Wilmar Cabrera</t>
  </si>
  <si>
    <t>Niza</t>
  </si>
  <si>
    <t>7/31/1959</t>
  </si>
  <si>
    <t>Los Cerrillos, Canelones</t>
  </si>
  <si>
    <t>-34.60813</t>
  </si>
  <si>
    <t>-56.36118</t>
  </si>
  <si>
    <t>https://es.wikipedia.org/wiki/Wilmar_Cabrera</t>
  </si>
  <si>
    <t>https://www.auf.org.uy/imagenes/img_contenido/seleccion_jugador/a/wilmar_cabrera.jpg</t>
  </si>
  <si>
    <t>Miguel Capuccini</t>
  </si>
  <si>
    <t>https://es.wikipedia.org/wiki/Miguel_Capuccini</t>
  </si>
  <si>
    <t>https://www.auf.org.uy/imagenes/img_contenido/seleccion_jugador/a/miguel_cappucini_.jpg</t>
  </si>
  <si>
    <t>Lugar</t>
  </si>
  <si>
    <t>Departamento</t>
  </si>
  <si>
    <t>Lat</t>
  </si>
  <si>
    <t>Lon</t>
  </si>
  <si>
    <t>Estadio en localidad</t>
  </si>
  <si>
    <t>Estadio más cercano</t>
  </si>
  <si>
    <t>Localidad estadio</t>
  </si>
  <si>
    <t>Distancia (km)</t>
  </si>
  <si>
    <t>No</t>
  </si>
  <si>
    <t>Estadio Luis Koster</t>
  </si>
  <si>
    <t>Si</t>
  </si>
  <si>
    <t>Estadio Centenario</t>
  </si>
  <si>
    <t>Estadio Matías González</t>
  </si>
  <si>
    <t>Estadio Eduardo Martínez Monegal</t>
  </si>
  <si>
    <t>Estadio Silvestre Octavio Landoniç</t>
  </si>
  <si>
    <t>Estadio Alberto Suppici</t>
  </si>
  <si>
    <t>Estadio Silvestre Octavio Landoni</t>
  </si>
  <si>
    <t>Estadios Campeones Olímpicos</t>
  </si>
  <si>
    <t>Estadio Municipal Parque Liebig's</t>
  </si>
  <si>
    <t>Estadio Domingo Buregueño Miguel</t>
  </si>
  <si>
    <t>Estadio Antonio Eleuterrio Ubilla</t>
  </si>
  <si>
    <t>Estadio Juan Antonio Lavalleja</t>
  </si>
  <si>
    <t>Estadio Casto Martínez Laguarda</t>
  </si>
  <si>
    <t>Estadio Atilio Paiva Olivera</t>
  </si>
  <si>
    <t>Estadio Dr. Mario Sobrero</t>
  </si>
  <si>
    <t>Estadio Ernesto J. Dickinson</t>
  </si>
  <si>
    <t>Estadio Centro Empleados de Comercio</t>
  </si>
  <si>
    <t>año</t>
  </si>
  <si>
    <t>jugador</t>
  </si>
  <si>
    <t>cantidad</t>
  </si>
  <si>
    <t>Victoriano Iriarte</t>
  </si>
  <si>
    <t>Oscar Míguez</t>
  </si>
  <si>
    <t>Juan Hohberg</t>
  </si>
  <si>
    <t>Ángel Ruben Cabrera</t>
  </si>
  <si>
    <t>Enzo Fancescoli</t>
  </si>
  <si>
    <t>jugador (capitán)</t>
  </si>
  <si>
    <t>Luis Ubinia</t>
  </si>
  <si>
    <t>Juan Masnik</t>
  </si>
  <si>
    <t>Ciudad / Localidad</t>
  </si>
  <si>
    <t>Trinidad</t>
  </si>
  <si>
    <t>Flores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</si>
</sst>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&quot; de &quot;mmmm&quot; de &quot;yyyy"/>
    <numFmt numFmtId="165" formatCode="d/m/yyyy"/>
    <numFmt numFmtId="166" formatCode="#,##0.000000"/>
    <numFmt numFmtId="167" formatCode="yyyy-mm-dd"/>
    <numFmt numFmtId="168" formatCode="dd/mm/yyyy"/>
    <numFmt numFmtId="169" formatCode="dd&quot; de &quot;mmmm&quot; de &quot;yyyy"/>
    <numFmt numFmtId="170" formatCode="#,##0.00000"/>
  </numFmts>
  <fonts count="24">
    <font>
      <sz val="10.0"/>
      <color rgb="FF000000"/>
      <name val="Arial"/>
      <scheme val="minor"/>
    </font>
    <font>
      <b/>
      <sz val="11.0"/>
      <color rgb="FF000000"/>
      <name val="Arial"/>
    </font>
    <font>
      <b/>
      <sz val="11.0"/>
      <color theme="1"/>
      <name val="Arial"/>
    </font>
    <font>
      <b/>
      <color theme="1"/>
      <name val="Arial"/>
      <scheme val="minor"/>
    </font>
    <font>
      <sz val="11.0"/>
      <color rgb="FF000000"/>
      <name val="Arial"/>
    </font>
    <font>
      <sz val="11.0"/>
      <color rgb="FF000000"/>
      <name val="&quot;Aptos Narrow&quot;"/>
    </font>
    <font>
      <u/>
      <sz val="11.0"/>
      <color rgb="FF0000FF"/>
      <name val="Arial"/>
    </font>
    <font>
      <sz val="11.0"/>
      <color theme="1"/>
      <name val="Arial"/>
    </font>
    <font>
      <u/>
      <sz val="11.0"/>
      <color rgb="FF467886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00"/>
      <name val="Arial"/>
    </font>
    <font>
      <u/>
      <sz val="11.0"/>
      <color rgb="FF0000FF"/>
      <name val="Arial"/>
    </font>
    <font>
      <color rgb="FF101418"/>
      <name val="&quot;Linux Libertine&quot;"/>
    </font>
    <font>
      <sz val="11.0"/>
      <color rgb="FF101418"/>
      <name val="Arial"/>
    </font>
    <font>
      <b/>
      <color rgb="FFFFFFFF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b/>
      <sz val="11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155CC"/>
        <bgColor rgb="FF1155CC"/>
      </patternFill>
    </fill>
  </fills>
  <borders count="1">
    <border/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49" xfId="0" applyAlignment="1" applyFont="1" applyNumberFormat="1">
      <alignment horizontal="right" readingOrder="0" shrinkToFit="0" vertical="bottom" wrapText="0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164" xfId="0" applyAlignment="1" applyFont="1" applyNumberFormat="1">
      <alignment horizontal="left" readingOrder="0" shrinkToFit="0" vertical="bottom" wrapText="0"/>
    </xf>
    <xf borderId="0" fillId="0" fontId="4" numFmtId="165" xfId="0" applyAlignment="1" applyFont="1" applyNumberFormat="1">
      <alignment horizontal="right" readingOrder="0" shrinkToFit="0" vertical="bottom" wrapText="0"/>
    </xf>
    <xf borderId="0" fillId="0" fontId="4" numFmtId="49" xfId="0" applyAlignment="1" applyFont="1" applyNumberFormat="1">
      <alignment horizontal="right" readingOrder="0" shrinkToFit="0" vertical="bottom" wrapText="0"/>
    </xf>
    <xf borderId="0" fillId="0" fontId="5" numFmtId="166" xfId="0" applyAlignment="1" applyFont="1" applyNumberFormat="1">
      <alignment horizontal="right" readingOrder="0" shrinkToFit="0" vertical="bottom" wrapText="0"/>
    </xf>
    <xf borderId="0" fillId="0" fontId="6" numFmtId="0" xfId="0" applyAlignment="1" applyFont="1">
      <alignment horizontal="left" readingOrder="0" shrinkToFit="0" vertical="bottom" wrapText="0"/>
    </xf>
    <xf borderId="0" fillId="0" fontId="7" numFmtId="0" xfId="0" applyFont="1"/>
    <xf borderId="0" fillId="0" fontId="8" numFmtId="0" xfId="0" applyAlignment="1" applyFont="1">
      <alignment horizontal="left" readingOrder="0" shrinkToFit="0" vertical="bottom" wrapText="0"/>
    </xf>
    <xf borderId="0" fillId="0" fontId="9" numFmtId="0" xfId="0" applyAlignment="1" applyFont="1">
      <alignment horizontal="left" readingOrder="0" shrinkToFit="0" vertical="bottom" wrapText="0"/>
    </xf>
    <xf borderId="0" fillId="0" fontId="10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readingOrder="0"/>
    </xf>
    <xf borderId="0" fillId="0" fontId="7" numFmtId="164" xfId="0" applyAlignment="1" applyFont="1" applyNumberFormat="1">
      <alignment readingOrder="0"/>
    </xf>
    <xf borderId="0" fillId="0" fontId="7" numFmtId="49" xfId="0" applyAlignment="1" applyFont="1" applyNumberFormat="1">
      <alignment horizontal="right" readingOrder="0"/>
    </xf>
    <xf borderId="0" fillId="0" fontId="11" numFmtId="0" xfId="0" applyAlignment="1" applyFont="1">
      <alignment readingOrder="0"/>
    </xf>
    <xf borderId="0" fillId="0" fontId="4" numFmtId="0" xfId="0" applyAlignment="1" applyFont="1">
      <alignment shrinkToFit="0" vertical="bottom" wrapText="0"/>
    </xf>
    <xf borderId="0" fillId="0" fontId="5" numFmtId="166" xfId="0" applyAlignment="1" applyFont="1" applyNumberFormat="1">
      <alignment shrinkToFit="0" vertical="bottom" wrapText="0"/>
    </xf>
    <xf borderId="0" fillId="0" fontId="4" numFmtId="167" xfId="0" applyAlignment="1" applyFont="1" applyNumberFormat="1">
      <alignment horizontal="left" readingOrder="0" shrinkToFit="0" vertical="bottom" wrapText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2" fontId="15" numFmtId="0" xfId="0" applyAlignment="1" applyFill="1" applyFont="1">
      <alignment readingOrder="0" shrinkToFit="0" wrapText="1"/>
    </xf>
    <xf borderId="0" fillId="0" fontId="7" numFmtId="165" xfId="0" applyAlignment="1" applyFont="1" applyNumberFormat="1">
      <alignment readingOrder="0"/>
    </xf>
    <xf borderId="0" fillId="2" fontId="16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vertical="bottom" wrapText="0"/>
    </xf>
    <xf borderId="0" fillId="0" fontId="7" numFmtId="168" xfId="0" applyAlignment="1" applyFont="1" applyNumberFormat="1">
      <alignment readingOrder="0"/>
    </xf>
    <xf borderId="0" fillId="0" fontId="4" numFmtId="169" xfId="0" applyAlignment="1" applyFont="1" applyNumberFormat="1">
      <alignment horizontal="left" readingOrder="0" shrinkToFit="0" vertical="bottom" wrapText="0"/>
    </xf>
    <xf borderId="0" fillId="0" fontId="7" numFmtId="49" xfId="0" applyAlignment="1" applyFont="1" applyNumberFormat="1">
      <alignment horizontal="right"/>
    </xf>
    <xf borderId="0" fillId="3" fontId="17" numFmtId="0" xfId="0" applyAlignment="1" applyFill="1" applyFont="1">
      <alignment readingOrder="0"/>
    </xf>
    <xf borderId="0" fillId="3" fontId="18" numFmtId="0" xfId="0" applyAlignment="1" applyFont="1">
      <alignment readingOrder="0"/>
    </xf>
    <xf borderId="0" fillId="3" fontId="18" numFmtId="170" xfId="0" applyAlignment="1" applyFont="1" applyNumberFormat="1">
      <alignment readingOrder="0"/>
    </xf>
    <xf borderId="0" fillId="3" fontId="18" numFmtId="0" xfId="0" applyFont="1"/>
    <xf borderId="0" fillId="0" fontId="19" numFmtId="0" xfId="0" applyAlignment="1" applyFont="1">
      <alignment readingOrder="0"/>
    </xf>
    <xf borderId="0" fillId="0" fontId="19" numFmtId="170" xfId="0" applyAlignment="1" applyFont="1" applyNumberFormat="1">
      <alignment readingOrder="0"/>
    </xf>
    <xf borderId="0" fillId="0" fontId="19" numFmtId="170" xfId="0" applyFont="1" applyNumberFormat="1"/>
    <xf borderId="0" fillId="0" fontId="20" numFmtId="0" xfId="0" applyAlignment="1" applyFont="1">
      <alignment readingOrder="0" shrinkToFit="0" vertical="bottom" wrapText="0"/>
    </xf>
    <xf borderId="0" fillId="0" fontId="20" numFmtId="0" xfId="0" applyAlignment="1" applyFont="1">
      <alignment horizontal="right" readingOrder="0" shrinkToFit="0" vertical="bottom" wrapText="0"/>
    </xf>
    <xf borderId="0" fillId="0" fontId="20" numFmtId="0" xfId="0" applyAlignment="1" applyFont="1">
      <alignment readingOrder="0"/>
    </xf>
    <xf borderId="0" fillId="0" fontId="20" numFmtId="0" xfId="0" applyAlignment="1" applyFont="1">
      <alignment horizontal="right" readingOrder="0"/>
    </xf>
    <xf borderId="0" fillId="0" fontId="20" numFmtId="0" xfId="0" applyAlignment="1" applyFont="1">
      <alignment horizontal="right" readingOrder="0" shrinkToFit="0" wrapText="0"/>
    </xf>
    <xf borderId="0" fillId="0" fontId="20" numFmtId="0" xfId="0" applyAlignment="1" applyFont="1">
      <alignment readingOrder="0" shrinkToFit="0" wrapText="0"/>
    </xf>
    <xf borderId="0" fillId="0" fontId="21" numFmtId="0" xfId="0" applyAlignment="1" applyFont="1">
      <alignment horizontal="center" readingOrder="0"/>
    </xf>
    <xf borderId="0" fillId="0" fontId="22" numFmtId="0" xfId="0" applyAlignment="1" applyFont="1">
      <alignment readingOrder="0"/>
    </xf>
    <xf borderId="0" fillId="0" fontId="22" numFmtId="0" xfId="0" applyFont="1"/>
    <xf borderId="0" fillId="0" fontId="5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2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es.wikipedia.org/wiki/Juan_Masnik" TargetMode="External"/><Relationship Id="rId194" Type="http://schemas.openxmlformats.org/officeDocument/2006/relationships/hyperlink" Target="https://es.wikipedia.org/wiki/Juan_Eduardo_Hohberg" TargetMode="External"/><Relationship Id="rId193" Type="http://schemas.openxmlformats.org/officeDocument/2006/relationships/hyperlink" Target="https://upload.wikimedia.org/wikipedia/commons/0/04/Juan_Castillo_2.JPG" TargetMode="External"/><Relationship Id="rId192" Type="http://schemas.openxmlformats.org/officeDocument/2006/relationships/hyperlink" Target="https://es.wikipedia.org/wiki/Juan_Guillermo_Castillo" TargetMode="External"/><Relationship Id="rId191" Type="http://schemas.openxmlformats.org/officeDocument/2006/relationships/hyperlink" Target="https://www.auf.org.uy/imagenes/img_contenido/seleccion_jugador/a/juan_masnik_.jpg" TargetMode="External"/><Relationship Id="rId187" Type="http://schemas.openxmlformats.org/officeDocument/2006/relationships/hyperlink" Target="https://www.auf.org.uy/imagenes/img_contenido/seleccion_jugador/a/juan_burgueno_.jpg" TargetMode="External"/><Relationship Id="rId186" Type="http://schemas.openxmlformats.org/officeDocument/2006/relationships/hyperlink" Target="https://upload.wikimedia.org/wikipedia/commons/1/1d/Schiaffino_%28cropped%29.jpg" TargetMode="External"/><Relationship Id="rId185" Type="http://schemas.openxmlformats.org/officeDocument/2006/relationships/hyperlink" Target="https://es.wikipedia.org/wiki/Juan_Alberto_Schiaffino" TargetMode="External"/><Relationship Id="rId184" Type="http://schemas.openxmlformats.org/officeDocument/2006/relationships/hyperlink" Target="https://www.auf.org.uy/imagenes/img_contenido/seleccion_jugador/a/jose_urruzmendi.jpg" TargetMode="External"/><Relationship Id="rId189" Type="http://schemas.openxmlformats.org/officeDocument/2006/relationships/hyperlink" Target="https://www.auf.org.uy/imagenes/img_contenido/seleccion_jugador/a/juan_carlos_gonzalez.jpg" TargetMode="External"/><Relationship Id="rId188" Type="http://schemas.openxmlformats.org/officeDocument/2006/relationships/hyperlink" Target="https://www.auf.org.uy/imagenes/img_contenido/seleccion_jugador/a/pedr_cea_2.jpg" TargetMode="External"/><Relationship Id="rId183" Type="http://schemas.openxmlformats.org/officeDocument/2006/relationships/hyperlink" Target="https://es.wikipedia.org/wiki/Jos%C3%A9_Urruzmendi" TargetMode="External"/><Relationship Id="rId182" Type="http://schemas.openxmlformats.org/officeDocument/2006/relationships/hyperlink" Target="https://upload.wikimedia.org/wikipedia/commons/thumb/f/f4/PepeSas%C3%ADa.png/250px-PepeSas%C3%ADa.png" TargetMode="External"/><Relationship Id="rId181" Type="http://schemas.openxmlformats.org/officeDocument/2006/relationships/hyperlink" Target="https://upload.wikimedia.org/wikipedia/commons/thumb/b/b9/Jos%C3%A9_Santamar%C3%ADa_1976.jpg/250px-Jos%C3%A9_Santamar%C3%ADa_1976.jpg" TargetMode="External"/><Relationship Id="rId180" Type="http://schemas.openxmlformats.org/officeDocument/2006/relationships/hyperlink" Target="https://upload.wikimedia.org/wikipedia/commons/thumb/a/a7/Jos%C3%A9_Perdomo.jpg/250px-Jos%C3%A9_Perdomo.jpg" TargetMode="External"/><Relationship Id="rId176" Type="http://schemas.openxmlformats.org/officeDocument/2006/relationships/hyperlink" Target="https://www.auf.org.uy/imagenes/img_contenido/seleccion_jugador/a/zalazarjl.jpg" TargetMode="External"/><Relationship Id="rId297" Type="http://schemas.openxmlformats.org/officeDocument/2006/relationships/hyperlink" Target="https://es.wikipedia.org/wiki/Pedro_Cubilla" TargetMode="External"/><Relationship Id="rId175" Type="http://schemas.openxmlformats.org/officeDocument/2006/relationships/hyperlink" Target="https://www.auf.org.uy/imagenes/img_contenido/seleccion_jugador/a/pumita111222.png" TargetMode="External"/><Relationship Id="rId296" Type="http://schemas.openxmlformats.org/officeDocument/2006/relationships/hyperlink" Target="https://upload.wikimedia.org/wikipedia/commons/thumb/4/45/Paolo_Montero.jpg/330px-Paolo_Montero.jpg" TargetMode="External"/><Relationship Id="rId174" Type="http://schemas.openxmlformats.org/officeDocument/2006/relationships/hyperlink" Target="https://www.auf.org.uy/imagenes/img_contenido/seleccion_jugador/a/jose_luis_pintos_saldanha_un.jpg" TargetMode="External"/><Relationship Id="rId295" Type="http://schemas.openxmlformats.org/officeDocument/2006/relationships/hyperlink" Target="https://es.wikipedia.org/wiki/Paolo_Montero" TargetMode="External"/><Relationship Id="rId173" Type="http://schemas.openxmlformats.org/officeDocument/2006/relationships/hyperlink" Target="https://www.auf.org.uy/imagenes/img_contenido/seleccion_jugador/a/jose_nasazzi_2.jpg" TargetMode="External"/><Relationship Id="rId294" Type="http://schemas.openxmlformats.org/officeDocument/2006/relationships/hyperlink" Target="https://upload.wikimedia.org/wikipedia/commons/thumb/e/ef/Pablogarcia.JPG/250px-Pablogarcia.JPG" TargetMode="External"/><Relationship Id="rId179" Type="http://schemas.openxmlformats.org/officeDocument/2006/relationships/hyperlink" Target="https://www.auf.org.uy/imagenes/img_contenido/seleccion_jugador/a/hector_scarone.jpg" TargetMode="External"/><Relationship Id="rId178" Type="http://schemas.openxmlformats.org/officeDocument/2006/relationships/hyperlink" Target="https://www.auf.org.uy/imagenes/img_contenido/seleccion_jugador/a/hector_castro.jpg" TargetMode="External"/><Relationship Id="rId299" Type="http://schemas.openxmlformats.org/officeDocument/2006/relationships/hyperlink" Target="https://es.wikipedia.org/wiki/Victoriano_Santos_Iriarte" TargetMode="External"/><Relationship Id="rId177" Type="http://schemas.openxmlformats.org/officeDocument/2006/relationships/hyperlink" Target="https://www.auf.org.uy/imagenes/img_contenido/seleccion_jugador/a/gimenez-jose-maria-ct.jpg" TargetMode="External"/><Relationship Id="rId298" Type="http://schemas.openxmlformats.org/officeDocument/2006/relationships/hyperlink" Target="https://www.auf.org.uy/imagenes/img_contenido/seleccion_jugador/a/pedro_cubilla_.jpg" TargetMode="External"/><Relationship Id="rId198" Type="http://schemas.openxmlformats.org/officeDocument/2006/relationships/hyperlink" Target="https://upload.wikimedia.org/wikipedia/commons/thumb/5/5c/Juan_Mujica.png/250px-Juan_Mujica.png" TargetMode="External"/><Relationship Id="rId197" Type="http://schemas.openxmlformats.org/officeDocument/2006/relationships/hyperlink" Target="https://www.auf.org.uy/imagenes/img_contenido/seleccion_jugador/a/jm-sanabria.jpg" TargetMode="External"/><Relationship Id="rId196" Type="http://schemas.openxmlformats.org/officeDocument/2006/relationships/hyperlink" Target="https://es.wikipedia.org/wiki/Juan_Manuel_Sanabria" TargetMode="External"/><Relationship Id="rId195" Type="http://schemas.openxmlformats.org/officeDocument/2006/relationships/hyperlink" Target="https://upload.wikimedia.org/wikipedia/commons/7/7f/Juan_Hohberg.png" TargetMode="External"/><Relationship Id="rId199" Type="http://schemas.openxmlformats.org/officeDocument/2006/relationships/hyperlink" Target="https://es.wikipedia.org/wiki/Juan_Carlos_Calvo" TargetMode="External"/><Relationship Id="rId150" Type="http://schemas.openxmlformats.org/officeDocument/2006/relationships/hyperlink" Target="https://www.auf.org.uy/imagenes/img_contenido/seleccion_jugador/a/ildo_maneiro_.jpg" TargetMode="External"/><Relationship Id="rId271" Type="http://schemas.openxmlformats.org/officeDocument/2006/relationships/hyperlink" Target="https://es.wikipedia.org/wiki/Mirto_Davoine" TargetMode="External"/><Relationship Id="rId270" Type="http://schemas.openxmlformats.org/officeDocument/2006/relationships/hyperlink" Target="https://upload.wikimedia.org/wikipedia/commons/thumb/6/65/Milton_Viera_Boca_Juniors.jpg/250px-Milton_Viera_Boca_Juniors.jpg" TargetMode="External"/><Relationship Id="rId1" Type="http://schemas.openxmlformats.org/officeDocument/2006/relationships/hyperlink" Target="https://www.auf.org.uy/imagenes/img_contenido/seleccion_jugador/a/abel_hernandez_auf.jpg" TargetMode="External"/><Relationship Id="rId2" Type="http://schemas.openxmlformats.org/officeDocument/2006/relationships/hyperlink" Target="https://www.auf.org.uy/imagenes/img_contenido/seleccion_jugador/a/canobbio-agustin-ct.jpg" TargetMode="External"/><Relationship Id="rId3" Type="http://schemas.openxmlformats.org/officeDocument/2006/relationships/hyperlink" Target="https://es.wikipedia.org/wiki/Alberto_Cardaccio" TargetMode="External"/><Relationship Id="rId149" Type="http://schemas.openxmlformats.org/officeDocument/2006/relationships/hyperlink" Target="https://es.wikipedia.org/wiki/Ildo_Maneiro" TargetMode="External"/><Relationship Id="rId4" Type="http://schemas.openxmlformats.org/officeDocument/2006/relationships/hyperlink" Target="https://www.auf.org.uy/imagenes/img_contenido/seleccion_jugador/a/alberto_cardaccio_.jpg" TargetMode="External"/><Relationship Id="rId148" Type="http://schemas.openxmlformats.org/officeDocument/2006/relationships/hyperlink" Target="https://www.auf.org.uy/imagenes/img_contenido/seleccion_jugador/a/ignacio_gonzalez_gettyimages.jpg" TargetMode="External"/><Relationship Id="rId269" Type="http://schemas.openxmlformats.org/officeDocument/2006/relationships/hyperlink" Target="https://es.wikipedia.org/wiki/Milton_Viera" TargetMode="External"/><Relationship Id="rId9" Type="http://schemas.openxmlformats.org/officeDocument/2006/relationships/hyperlink" Target="https://www.auf.org.uy/imagenes/img_contenido/seleccion_jugador/a/alejandro_lembo_gettyimages.jpg" TargetMode="External"/><Relationship Id="rId143" Type="http://schemas.openxmlformats.org/officeDocument/2006/relationships/hyperlink" Target="https://www.auf.org.uy/imagenes/img_contenido/seleccion_jugador/a/hector_silva_.jpg" TargetMode="External"/><Relationship Id="rId264" Type="http://schemas.openxmlformats.org/officeDocument/2006/relationships/hyperlink" Target="https://upload.wikimedia.org/wikipedia/commons/3/31/Pablo_Dorado_%28cropped%29.JPG" TargetMode="External"/><Relationship Id="rId385" Type="http://schemas.openxmlformats.org/officeDocument/2006/relationships/hyperlink" Target="https://es.wikipedia.org/wiki/Wilmar_Cabrera" TargetMode="External"/><Relationship Id="rId142" Type="http://schemas.openxmlformats.org/officeDocument/2006/relationships/hyperlink" Target="https://www.auf.org.uy/imagenes/img_contenido/seleccion_jugador/a/ernesto_mascheroni.jpg" TargetMode="External"/><Relationship Id="rId263" Type="http://schemas.openxmlformats.org/officeDocument/2006/relationships/hyperlink" Target="https://es.wikipedia.org/wiki/Pablo_Dorado" TargetMode="External"/><Relationship Id="rId384" Type="http://schemas.openxmlformats.org/officeDocument/2006/relationships/hyperlink" Target="https://upload.wikimedia.org/wikipedia/commons/1/14/William_Mart%C3%ADnez%2C_Estadio%2C_1955-03-12_%28617%29_%28cropped%29.jpg" TargetMode="External"/><Relationship Id="rId141" Type="http://schemas.openxmlformats.org/officeDocument/2006/relationships/hyperlink" Target="https://es.wikipedia.org/wiki/Ernesto_Mascheroni" TargetMode="External"/><Relationship Id="rId262" Type="http://schemas.openxmlformats.org/officeDocument/2006/relationships/hyperlink" Target="https://upload.wikimedia.org/wikipedia/commons/thumb/a/ac/Maxi_Pereira.jpg/250px-Maxi_Pereira.jpg" TargetMode="External"/><Relationship Id="rId383" Type="http://schemas.openxmlformats.org/officeDocument/2006/relationships/hyperlink" Target="https://www.auf.org.uy/imagenes/img_contenido/seleccion_jugador/a/william_castro_un.jpg" TargetMode="External"/><Relationship Id="rId140" Type="http://schemas.openxmlformats.org/officeDocument/2006/relationships/hyperlink" Target="https://www.auf.org.uy/imagenes/img_contenido/seleccion_jugador/a/hector_santos_.jpg" TargetMode="External"/><Relationship Id="rId261" Type="http://schemas.openxmlformats.org/officeDocument/2006/relationships/hyperlink" Target="https://es.wikipedia.org/wiki/Maximiliano_Pereira" TargetMode="External"/><Relationship Id="rId382" Type="http://schemas.openxmlformats.org/officeDocument/2006/relationships/hyperlink" Target="https://es.wikipedia.org/wiki/William_Castro" TargetMode="External"/><Relationship Id="rId5" Type="http://schemas.openxmlformats.org/officeDocument/2006/relationships/hyperlink" Target="https://www.auf.org.uy/imagenes/img_contenido/seleccion_jugador/a/alberto_gomez_.jpg" TargetMode="External"/><Relationship Id="rId147" Type="http://schemas.openxmlformats.org/officeDocument/2006/relationships/hyperlink" Target="https://www.auf.org.uy/imagenes/img_contenido/seleccion_jugador/a/hugo_de_leon_un.jpg" TargetMode="External"/><Relationship Id="rId268" Type="http://schemas.openxmlformats.org/officeDocument/2006/relationships/hyperlink" Target="https://www.auf.org.uy/imagenes/img_contenido/seleccion_jugador/a/pedro_petrone_2.jpg" TargetMode="External"/><Relationship Id="rId389" Type="http://schemas.openxmlformats.org/officeDocument/2006/relationships/drawing" Target="../drawings/drawing1.xml"/><Relationship Id="rId6" Type="http://schemas.openxmlformats.org/officeDocument/2006/relationships/hyperlink" Target="https://es.wikipedia.org/wiki/Alcides_Ghiggia" TargetMode="External"/><Relationship Id="rId146" Type="http://schemas.openxmlformats.org/officeDocument/2006/relationships/hyperlink" Target="https://www.auf.org.uy/imagenes/img_contenido/seleccion_jugador/a/horacio_troche_.jpg" TargetMode="External"/><Relationship Id="rId267" Type="http://schemas.openxmlformats.org/officeDocument/2006/relationships/hyperlink" Target="https://es.wikipedia.org/wiki/Pedro_Petrone" TargetMode="External"/><Relationship Id="rId388" Type="http://schemas.openxmlformats.org/officeDocument/2006/relationships/hyperlink" Target="https://www.auf.org.uy/imagenes/img_contenido/seleccion_jugador/a/miguel_cappucini_.jpg" TargetMode="External"/><Relationship Id="rId7" Type="http://schemas.openxmlformats.org/officeDocument/2006/relationships/hyperlink" Target="https://www.auf.org.uy/imagenes/img_contenido/seleccion_jugador/a/alcides_ghiggia_.jpg" TargetMode="External"/><Relationship Id="rId145" Type="http://schemas.openxmlformats.org/officeDocument/2006/relationships/hyperlink" Target="https://es.wikipedia.org/wiki/Horacio_Troche" TargetMode="External"/><Relationship Id="rId266" Type="http://schemas.openxmlformats.org/officeDocument/2006/relationships/hyperlink" Target="https://www.auf.org.uy/imagenes/img_contenido/seleccion_jugador/a/miguel_bossio_getty.jpg" TargetMode="External"/><Relationship Id="rId387" Type="http://schemas.openxmlformats.org/officeDocument/2006/relationships/hyperlink" Target="https://es.wikipedia.org/wiki/Miguel_Capuccini" TargetMode="External"/><Relationship Id="rId8" Type="http://schemas.openxmlformats.org/officeDocument/2006/relationships/hyperlink" Target="https://es.wikipedia.org/wiki/Alejandro_Lembo" TargetMode="External"/><Relationship Id="rId144" Type="http://schemas.openxmlformats.org/officeDocument/2006/relationships/hyperlink" Target="https://www.auf.org.uy/imagenes/img_contenido/seleccion_jugador/a/hector_vilches_2.jpg" TargetMode="External"/><Relationship Id="rId265" Type="http://schemas.openxmlformats.org/officeDocument/2006/relationships/hyperlink" Target="https://es.wikipedia.org/wiki/Miguel_Bossio_(futbolista)" TargetMode="External"/><Relationship Id="rId386" Type="http://schemas.openxmlformats.org/officeDocument/2006/relationships/hyperlink" Target="https://www.auf.org.uy/imagenes/img_contenido/seleccion_jugador/a/wilmar_cabrera.jpg" TargetMode="External"/><Relationship Id="rId260" Type="http://schemas.openxmlformats.org/officeDocument/2006/relationships/hyperlink" Target="https://www.auf.org.uy/imagenes/img_contenido/seleccion_jugador/a/araujo-maximiliano-ct-1.jpg" TargetMode="External"/><Relationship Id="rId381" Type="http://schemas.openxmlformats.org/officeDocument/2006/relationships/hyperlink" Target="https://www.auf.org.uy/imagenes/img_contenido/seleccion_jugador/a/washington_ortuno_.jpg" TargetMode="External"/><Relationship Id="rId380" Type="http://schemas.openxmlformats.org/officeDocument/2006/relationships/hyperlink" Target="https://www.auf.org.uy/imagenes/img_contenido/seleccion_jugador/a/walter_taibo_.jpg" TargetMode="External"/><Relationship Id="rId139" Type="http://schemas.openxmlformats.org/officeDocument/2006/relationships/hyperlink" Target="https://www.auf.org.uy/imagenes/img_contenido/seleccion_jugador/a/hector_salva.jpg" TargetMode="External"/><Relationship Id="rId138" Type="http://schemas.openxmlformats.org/officeDocument/2006/relationships/hyperlink" Target="https://www.auf.org.uy/imagenes/img_contenido/seleccion_jugador/a/emilio_recoba_.jpg" TargetMode="External"/><Relationship Id="rId259" Type="http://schemas.openxmlformats.org/officeDocument/2006/relationships/hyperlink" Target="https://es.wikipedia.org/wiki/Maximiliano_Ara%C3%BAjo" TargetMode="External"/><Relationship Id="rId137" Type="http://schemas.openxmlformats.org/officeDocument/2006/relationships/hyperlink" Target="https://es.wikipedia.org/wiki/Emilio_Recoba" TargetMode="External"/><Relationship Id="rId258" Type="http://schemas.openxmlformats.org/officeDocument/2006/relationships/hyperlink" Target="https://upload.wikimedia.org/wikipedia/commons/thumb/5/57/Maxi_Gomez_2020.png/250px-Maxi_Gomez_2020.png" TargetMode="External"/><Relationship Id="rId379" Type="http://schemas.openxmlformats.org/officeDocument/2006/relationships/hyperlink" Target="https://es.wikipedia.org/wiki/Walter_Taibo" TargetMode="External"/><Relationship Id="rId132" Type="http://schemas.openxmlformats.org/officeDocument/2006/relationships/hyperlink" Target="https://es.wikipedia.org/wiki/Gustavo_Mendez" TargetMode="External"/><Relationship Id="rId253" Type="http://schemas.openxmlformats.org/officeDocument/2006/relationships/hyperlink" Target="https://upload.wikimedia.org/wikipedia/commons/thumb/3/3d/Mat%C3%ADas_Gonz%C3%A1lez_%28cropped%29.png/250px-Mat%C3%ADas_Gonz%C3%A1lez_%28cropped%29.png" TargetMode="External"/><Relationship Id="rId374" Type="http://schemas.openxmlformats.org/officeDocument/2006/relationships/hyperlink" Target="https://upload.wikimedia.org/wikipedia/commons/thumb/b/b0/Walter_Corbo.jpg/250px-Walter_Corbo.jpg" TargetMode="External"/><Relationship Id="rId131" Type="http://schemas.openxmlformats.org/officeDocument/2006/relationships/hyperlink" Target="https://www.auf.org.uy/imagenes/img_contenido/seleccion_jugador/a/gustavo_fernandez_.jpg" TargetMode="External"/><Relationship Id="rId252" Type="http://schemas.openxmlformats.org/officeDocument/2006/relationships/hyperlink" Target="https://upload.wikimedia.org/wikipedia/commons/thumb/f/f5/Math%C3%ADas_Olivera_WC2022.jpg/250px-Math%C3%ADas_Olivera_WC2022.jpg" TargetMode="External"/><Relationship Id="rId373" Type="http://schemas.openxmlformats.org/officeDocument/2006/relationships/hyperlink" Target="https://es.wikipedia.org/wiki/Walter_Corbo" TargetMode="External"/><Relationship Id="rId130" Type="http://schemas.openxmlformats.org/officeDocument/2006/relationships/hyperlink" Target="https://www.auf.org.uy/imagenes/img_contenido/seleccion_jugador/a/gustavo_de_simone_.jpg" TargetMode="External"/><Relationship Id="rId251" Type="http://schemas.openxmlformats.org/officeDocument/2006/relationships/hyperlink" Target="https://upload.wikimedia.org/wikipedia/commons/2/25/Martin_Silva_cropped.jpg" TargetMode="External"/><Relationship Id="rId372" Type="http://schemas.openxmlformats.org/officeDocument/2006/relationships/hyperlink" Target="https://blogger.googleusercontent.com/img/b/R29vZ2xl/AVvXsEjdTtnKYV3-DtRQ10b1hNPtwqrOi4NyjEt3_tY1eQAU2biLKjDzswiz4IMSC73y78aHergnCmxKqBoarc9-zLbD8Ui6Uf873gKkQIQiI9bsre-QS0MS2qCqK7_I7VZH_0f4UQt6s4736MLo/s320/ballesteros.jpg" TargetMode="External"/><Relationship Id="rId250" Type="http://schemas.openxmlformats.org/officeDocument/2006/relationships/hyperlink" Target="https://upload.wikimedia.org/wikipedia/commons/thumb/5/59/Urug_tren_%284%29_-_%D0%BA%D0%BE%D0%BF%D0%B8%D1%8F.jpg/250px-Urug_tren_%284%29_-_%D0%BA%D0%BE%D0%BF%D0%B8%D1%8F.jpg" TargetMode="External"/><Relationship Id="rId371" Type="http://schemas.openxmlformats.org/officeDocument/2006/relationships/hyperlink" Target="https://es.wikipedia.org/wiki/Enrique_Ballesteros" TargetMode="External"/><Relationship Id="rId136" Type="http://schemas.openxmlformats.org/officeDocument/2006/relationships/hyperlink" Target="https://www.auf.org.uy/imagenes/img_contenido/seleccion_jugador/a/gustavo_varela_pa.jpg" TargetMode="External"/><Relationship Id="rId257" Type="http://schemas.openxmlformats.org/officeDocument/2006/relationships/hyperlink" Target="https://upload.wikimedia.org/wikipedia/commons/thumb/2/24/Mauricio_Victorino_%28cropped%29.JPG/250px-Mauricio_Victorino_%28cropped%29.JPG" TargetMode="External"/><Relationship Id="rId378" Type="http://schemas.openxmlformats.org/officeDocument/2006/relationships/hyperlink" Target="https://www.auf.org.uy/imagenes/img_contenido/seleccion_jugador/a/walter_mantegazza_anefo.jpg" TargetMode="External"/><Relationship Id="rId135" Type="http://schemas.openxmlformats.org/officeDocument/2006/relationships/hyperlink" Target="https://es.wikipedia.org/wiki/Gustavo_Antonio_Varela" TargetMode="External"/><Relationship Id="rId256" Type="http://schemas.openxmlformats.org/officeDocument/2006/relationships/hyperlink" Target="https://es.wikipedia.org/wiki/Mauricio_Victorino" TargetMode="External"/><Relationship Id="rId377" Type="http://schemas.openxmlformats.org/officeDocument/2006/relationships/hyperlink" Target="https://es.wikipedia.org/wiki/Walter_Mantegazza" TargetMode="External"/><Relationship Id="rId134" Type="http://schemas.openxmlformats.org/officeDocument/2006/relationships/hyperlink" Target="https://www.auf.org.uy/imagenes/img_contenido/seleccion_jugador/a/gustavo_munua_precision-football.jpg" TargetMode="External"/><Relationship Id="rId255" Type="http://schemas.openxmlformats.org/officeDocument/2006/relationships/hyperlink" Target="https://upload.wikimedia.org/wikipedia/commons/b/b5/Mat%C3%ADas_Vi%C3%B1a.jpg" TargetMode="External"/><Relationship Id="rId376" Type="http://schemas.openxmlformats.org/officeDocument/2006/relationships/hyperlink" Target="https://upload.wikimedia.org/wikipedia/commons/thumb/c/c3/Walter_Gargano_-_SSC_Neapel_%283%29.jpg/250px-Walter_Gargano_-_SSC_Neapel_%283%29.jpg" TargetMode="External"/><Relationship Id="rId133" Type="http://schemas.openxmlformats.org/officeDocument/2006/relationships/hyperlink" Target="https://www.auf.org.uy/imagenes/img_contenido/seleccion_jugador/a/gustavo_mendez_pa2.jpg" TargetMode="External"/><Relationship Id="rId254" Type="http://schemas.openxmlformats.org/officeDocument/2006/relationships/hyperlink" Target="https://upload.wikimedia.org/wikipedia/commons/thumb/2/23/20171114_AUT_URU_5030.jpg/250px-20171114_AUT_URU_5030.jpg" TargetMode="External"/><Relationship Id="rId375" Type="http://schemas.openxmlformats.org/officeDocument/2006/relationships/hyperlink" Target="https://es.wikipedia.org/wiki/Walter_Gargano" TargetMode="External"/><Relationship Id="rId172" Type="http://schemas.openxmlformats.org/officeDocument/2006/relationships/hyperlink" Target="https://www.auf.org.uy/imagenes/img_contenido/seleccion_jugador/a/herrerajose.jpg" TargetMode="External"/><Relationship Id="rId293" Type="http://schemas.openxmlformats.org/officeDocument/2006/relationships/hyperlink" Target="https://www.auf.org.uy/imagenes/img_contenido/seleccion_jugador/a/pablo_forlan_.jpg" TargetMode="External"/><Relationship Id="rId171" Type="http://schemas.openxmlformats.org/officeDocument/2006/relationships/hyperlink" Target="https://www.auf.org.uy/imagenes/img_contenido/seleccion_jugador/a/jose_gervasio_gomez_gettyimages.jpg" TargetMode="External"/><Relationship Id="rId292" Type="http://schemas.openxmlformats.org/officeDocument/2006/relationships/hyperlink" Target="https://www.auf.org.uy/imagenes/img_contenido/seleccion_jugador/a/santos_urdinaran.jpg" TargetMode="External"/><Relationship Id="rId170" Type="http://schemas.openxmlformats.org/officeDocument/2006/relationships/hyperlink" Target="https://www.transfermarkt.es/jose-gomez/profil/spieler/143464" TargetMode="External"/><Relationship Id="rId291" Type="http://schemas.openxmlformats.org/officeDocument/2006/relationships/hyperlink" Target="https://upload.wikimedia.org/wikipedia/commons/thumb/c/c0/Pablo_Bengoechea_DT.jpg/330px-Pablo_Bengoechea_DT.jpg" TargetMode="External"/><Relationship Id="rId290" Type="http://schemas.openxmlformats.org/officeDocument/2006/relationships/hyperlink" Target="https://es.wikipedia.org/wiki/Pablo_Bengoechea" TargetMode="External"/><Relationship Id="rId165" Type="http://schemas.openxmlformats.org/officeDocument/2006/relationships/hyperlink" Target="https://es.wikipedia.org/wiki/Jorge_Fucile" TargetMode="External"/><Relationship Id="rId286" Type="http://schemas.openxmlformats.org/officeDocument/2006/relationships/hyperlink" Target="https://www.auf.org.uy/imagenes/img_contenido/seleccion_jugador/a/omar_caetano.jpg" TargetMode="External"/><Relationship Id="rId164" Type="http://schemas.openxmlformats.org/officeDocument/2006/relationships/hyperlink" Target="https://www.auf.org.uy/imagenes/img_contenido/seleccion_jugador/a/jorge_da_silva_un.jpg" TargetMode="External"/><Relationship Id="rId285" Type="http://schemas.openxmlformats.org/officeDocument/2006/relationships/hyperlink" Target="https://es.wikipedia.org/wiki/Omar_Caetano" TargetMode="External"/><Relationship Id="rId163" Type="http://schemas.openxmlformats.org/officeDocument/2006/relationships/hyperlink" Target="https://es.wikipedia.org/wiki/Jorge_da_Silva" TargetMode="External"/><Relationship Id="rId284" Type="http://schemas.openxmlformats.org/officeDocument/2006/relationships/hyperlink" Target="https://upload.wikimedia.org/wikipedia/commons/thumb/a/aa/FIFA_logo_without_slogan.svg/40px-FIFA_logo_without_slogan.svg.png" TargetMode="External"/><Relationship Id="rId162" Type="http://schemas.openxmlformats.org/officeDocument/2006/relationships/hyperlink" Target="https://www.auf.org.uy/imagenes/img_contenido/seleccion_jugador/a/jorge_barrios_un.jpg" TargetMode="External"/><Relationship Id="rId283" Type="http://schemas.openxmlformats.org/officeDocument/2006/relationships/hyperlink" Target="https://es.wikipedia.org/wiki/Obdulio_Varela" TargetMode="External"/><Relationship Id="rId169" Type="http://schemas.openxmlformats.org/officeDocument/2006/relationships/hyperlink" Target="https://www.auf.org.uy/imagenes/img_contenido/seleccion_jugador/a/jose_batista_un2.jpg" TargetMode="External"/><Relationship Id="rId168" Type="http://schemas.openxmlformats.org/officeDocument/2006/relationships/hyperlink" Target="https://www.auf.org.uy/imagenes/img_contenido/seleccion_jugador/a/jorge_manicera_.jpg" TargetMode="External"/><Relationship Id="rId289" Type="http://schemas.openxmlformats.org/officeDocument/2006/relationships/hyperlink" Target="https://upload.wikimedia.org/wikipedia/commons/2/2a/%C3%93scar_Zub%C3%ADa.jpg" TargetMode="External"/><Relationship Id="rId167" Type="http://schemas.openxmlformats.org/officeDocument/2006/relationships/hyperlink" Target="https://es.wikipedia.org/wiki/Jorge_Manicera" TargetMode="External"/><Relationship Id="rId288" Type="http://schemas.openxmlformats.org/officeDocument/2006/relationships/hyperlink" Target="https://upload.wikimedia.org/wikipedia/commons/c/c4/%C3%93scar_M%C3%ADguez%2C_Estadio%2C_1955-04-02_%28620%29.jpg" TargetMode="External"/><Relationship Id="rId166" Type="http://schemas.openxmlformats.org/officeDocument/2006/relationships/hyperlink" Target="https://www.auf.org.uy/imagenes/img_contenido/seleccion_jugador/a/jorge_fucile_gettyimages.jpg" TargetMode="External"/><Relationship Id="rId287" Type="http://schemas.openxmlformats.org/officeDocument/2006/relationships/hyperlink" Target="https://www.auf.org.uy/imagenes/img_contenido/seleccion_jugador/a/omar_pedro_mendez_.jpg" TargetMode="External"/><Relationship Id="rId161" Type="http://schemas.openxmlformats.org/officeDocument/2006/relationships/hyperlink" Target="https://es.wikipedia.org/wiki/Jorge_Barrios" TargetMode="External"/><Relationship Id="rId282" Type="http://schemas.openxmlformats.org/officeDocument/2006/relationships/hyperlink" Target="https://www.auf.org.uy/imagenes/img_contenido/seleccion_jugador/a/nicolas_olivera_pa.jpg" TargetMode="External"/><Relationship Id="rId160" Type="http://schemas.openxmlformats.org/officeDocument/2006/relationships/hyperlink" Target="https://www.auf.org.uy/imagenes/img_contenido/seleccion_jugador/a/jonathan_urretaviscaya_auf.jpg" TargetMode="External"/><Relationship Id="rId281" Type="http://schemas.openxmlformats.org/officeDocument/2006/relationships/hyperlink" Target="https://upload.wikimedia.org/wikipedia/commons/thumb/2/27/Nicol%C3%A1s_Lodeiro_2017.jpg/250px-Nicol%C3%A1s_Lodeiro_2017.jpg" TargetMode="External"/><Relationship Id="rId280" Type="http://schemas.openxmlformats.org/officeDocument/2006/relationships/hyperlink" Target="https://upload.wikimedia.org/wikipedia/commons/thumb/0/0c/Nicol%C3%A1s_de_la_Cruz.jpg/250px-Nicol%C3%A1s_de_la_Cruz.jpg" TargetMode="External"/><Relationship Id="rId159" Type="http://schemas.openxmlformats.org/officeDocument/2006/relationships/hyperlink" Target="https://es.wikipedia.org/wiki/Jonathan_Urretaviscaya" TargetMode="External"/><Relationship Id="rId154" Type="http://schemas.openxmlformats.org/officeDocument/2006/relationships/hyperlink" Target="https://www.auf.org.uy/imagenes/img_contenido/seleccion_jugador/a/javier_zeoli_un.jpg" TargetMode="External"/><Relationship Id="rId275" Type="http://schemas.openxmlformats.org/officeDocument/2006/relationships/hyperlink" Target="https://www.auf.org.uy/imagenes/img_contenido/seleccion_jugador/a/nelson_diaz_.jpg" TargetMode="External"/><Relationship Id="rId153" Type="http://schemas.openxmlformats.org/officeDocument/2006/relationships/hyperlink" Target="https://es.wikipedia.org/wiki/Javier_Zeoli" TargetMode="External"/><Relationship Id="rId274" Type="http://schemas.openxmlformats.org/officeDocument/2006/relationships/hyperlink" Target="https://en.wikipedia.org/wiki/Nelson_D%C3%ADaz_(footballer)" TargetMode="External"/><Relationship Id="rId152" Type="http://schemas.openxmlformats.org/officeDocument/2006/relationships/hyperlink" Target="https://www.auf.org.uy/imagenes/img_contenido/seleccion_jugador/a/javier_ambrois_2.jpg" TargetMode="External"/><Relationship Id="rId273" Type="http://schemas.openxmlformats.org/officeDocument/2006/relationships/hyperlink" Target="https://upload.wikimedia.org/wikipedia/commons/thumb/7/71/Urug_tren_%283%29_-_%D0%BA%D0%BE%D0%BF%D0%B8%D1%8F.jpg/250px-Urug_tren_%283%29_-_%D0%BA%D0%BE%D0%BF%D0%B8%D1%8F.jpg" TargetMode="External"/><Relationship Id="rId151" Type="http://schemas.openxmlformats.org/officeDocument/2006/relationships/hyperlink" Target="https://es.wikipedia.org/wiki/Javier_Ambrois" TargetMode="External"/><Relationship Id="rId272" Type="http://schemas.openxmlformats.org/officeDocument/2006/relationships/hyperlink" Target="https://www.auf.org.uy/imagenes/img_contenido/seleccion_jugador/a/mirto_davoine_mundo-uruguayo.jpg" TargetMode="External"/><Relationship Id="rId158" Type="http://schemas.openxmlformats.org/officeDocument/2006/relationships/hyperlink" Target="https://www.auf.org.uy/imagenes/img_contenido/seleccion_jugador/a/joe_bizera_afp.jpg" TargetMode="External"/><Relationship Id="rId279" Type="http://schemas.openxmlformats.org/officeDocument/2006/relationships/hyperlink" Target="https://upload.wikimedia.org/wikipedia/commons/thumb/6/6c/N%C3%A9stor_Goncalves.jpg/250px-N%C3%A9stor_Goncalves.jpg" TargetMode="External"/><Relationship Id="rId157" Type="http://schemas.openxmlformats.org/officeDocument/2006/relationships/hyperlink" Target="https://es.wikipedia.org/wiki/Joe_Bizera" TargetMode="External"/><Relationship Id="rId278" Type="http://schemas.openxmlformats.org/officeDocument/2006/relationships/hyperlink" Target="https://www.auf.org.uy/imagenes/img_contenido/seleccion_jugador/a/nestor_carballo_.jpg" TargetMode="External"/><Relationship Id="rId156" Type="http://schemas.openxmlformats.org/officeDocument/2006/relationships/hyperlink" Target="https://www.auf.org.uy/imagenes/img_contenido/seleccion_jugador/a/joaquin-piquerez222.jpg" TargetMode="External"/><Relationship Id="rId277" Type="http://schemas.openxmlformats.org/officeDocument/2006/relationships/hyperlink" Target="https://www.auf.org.uy/nestor-carballo/" TargetMode="External"/><Relationship Id="rId155" Type="http://schemas.openxmlformats.org/officeDocument/2006/relationships/hyperlink" Target="https://es.wikipedia.org/wiki/Joaqu%C3%ADn_Piquerez" TargetMode="External"/><Relationship Id="rId276" Type="http://schemas.openxmlformats.org/officeDocument/2006/relationships/hyperlink" Target="https://upload.wikimedia.org/wikipedia/commons/thumb/e/e0/Nelson_Guti%C3%A9rrez_in_1986_after_winning_the_1986_Intercontinental_Cup.jpg/250px-Nelson_Guti%C3%A9rrez_in_1986_after_winning_the_1986_Intercontinental_Cup.jpg" TargetMode="External"/><Relationship Id="rId40" Type="http://schemas.openxmlformats.org/officeDocument/2006/relationships/hyperlink" Target="https://es.wikipedia.org/wiki/Christian_Stuani" TargetMode="External"/><Relationship Id="rId42" Type="http://schemas.openxmlformats.org/officeDocument/2006/relationships/hyperlink" Target="https://www.auf.org.uy/imagenes/img_contenido/seleccion_jugador/a/jose_leandro_andrade_2.jpg" TargetMode="External"/><Relationship Id="rId41" Type="http://schemas.openxmlformats.org/officeDocument/2006/relationships/hyperlink" Target="https://www.auf.org.uy/imagenes/img_contenido/seleccion_jugador/a/cristhian_stuani_auf.jpg" TargetMode="External"/><Relationship Id="rId44" Type="http://schemas.openxmlformats.org/officeDocument/2006/relationships/hyperlink" Target="https://es.wikipedia.org/wiki/Dagoberto_Fontes" TargetMode="External"/><Relationship Id="rId43" Type="http://schemas.openxmlformats.org/officeDocument/2006/relationships/hyperlink" Target="https://www.auf.org.uy/imagenes/img_contenido/seleccion_jugador/a/cristian_rodriguez_auf.jpg" TargetMode="External"/><Relationship Id="rId46" Type="http://schemas.openxmlformats.org/officeDocument/2006/relationships/hyperlink" Target="https://es.wikipedia.org/wiki/Daniel_Fonseca" TargetMode="External"/><Relationship Id="rId45" Type="http://schemas.openxmlformats.org/officeDocument/2006/relationships/hyperlink" Target="https://www.auf.org.uy/imagenes/img_contenido/seleccion_jugador/a/dagoberto_fontes_.jpg" TargetMode="External"/><Relationship Id="rId48" Type="http://schemas.openxmlformats.org/officeDocument/2006/relationships/hyperlink" Target="https://www.auf.org.uy/imagenes/img_contenido/seleccion_jugador/a/dario_pereyra_.jpg" TargetMode="External"/><Relationship Id="rId47" Type="http://schemas.openxmlformats.org/officeDocument/2006/relationships/hyperlink" Target="https://www.auf.org.uy/imagenes/img_contenido/seleccion_jugador/a/fonsecadaniel.jpg" TargetMode="External"/><Relationship Id="rId49" Type="http://schemas.openxmlformats.org/officeDocument/2006/relationships/hyperlink" Target="https://www.auf.org.uy/imagenes/img_contenido/seleccion_jugador/a/dario_rodriguez_afp.jpg" TargetMode="External"/><Relationship Id="rId31" Type="http://schemas.openxmlformats.org/officeDocument/2006/relationships/hyperlink" Target="https://www.auf.org.uy/imagenes/img_contenido/seleccion_jugador/a/carlos_borges_.jpg" TargetMode="External"/><Relationship Id="rId30" Type="http://schemas.openxmlformats.org/officeDocument/2006/relationships/hyperlink" Target="https://es.wikipedia.org/wiki/Carlos_Borges" TargetMode="External"/><Relationship Id="rId33" Type="http://schemas.openxmlformats.org/officeDocument/2006/relationships/hyperlink" Target="https://es.wikipedia.org/wiki/Carlos_Romero_(futbolista_uruguayo)" TargetMode="External"/><Relationship Id="rId32" Type="http://schemas.openxmlformats.org/officeDocument/2006/relationships/hyperlink" Target="https://www.auf.org.uy/imagenes/img_contenido/seleccion_jugador/a/conduelo_piriz_.jpg" TargetMode="External"/><Relationship Id="rId35" Type="http://schemas.openxmlformats.org/officeDocument/2006/relationships/hyperlink" Target="https://www.auf.org.uy/imagenes/img_contenido/seleccion_jugador/a/carlos_sanchez_gettyimages2.jpg" TargetMode="External"/><Relationship Id="rId34" Type="http://schemas.openxmlformats.org/officeDocument/2006/relationships/hyperlink" Target="https://www.auf.org.uy/imagenes/img_contenido/seleccion_jugador/a/carlos_romero_2.jpg" TargetMode="External"/><Relationship Id="rId37" Type="http://schemas.openxmlformats.org/officeDocument/2006/relationships/hyperlink" Target="https://www.auf.org.uy/imagenes/img_contenido/seleccion_jugador/a/celso_otero_un.jpg" TargetMode="External"/><Relationship Id="rId36" Type="http://schemas.openxmlformats.org/officeDocument/2006/relationships/hyperlink" Target="https://www.auf.org.uy/celso-otero-quintas/" TargetMode="External"/><Relationship Id="rId39" Type="http://schemas.openxmlformats.org/officeDocument/2006/relationships/hyperlink" Target="https://www.auf.org.uy/imagenes/img_contenido/seleccion_jugador/a/cesar_vega_giovinatti.jpg" TargetMode="External"/><Relationship Id="rId38" Type="http://schemas.openxmlformats.org/officeDocument/2006/relationships/hyperlink" Target="https://www.auf.org.uy/cesar-vega/" TargetMode="External"/><Relationship Id="rId20" Type="http://schemas.openxmlformats.org/officeDocument/2006/relationships/hyperlink" Target="https://www.auf.org.uy/imagenes/img_contenido/seleccion_jugador/a/anibal_paz_.jpg" TargetMode="External"/><Relationship Id="rId22" Type="http://schemas.openxmlformats.org/officeDocument/2006/relationships/hyperlink" Target="https://www.auf.org.uy/imagenes/img_contenido/seleccion_jugador/a/antonio_alzamendi_un.jpg" TargetMode="External"/><Relationship Id="rId21" Type="http://schemas.openxmlformats.org/officeDocument/2006/relationships/hyperlink" Target="https://es.wikipedia.org/wiki/Antonio_Alzamendi" TargetMode="External"/><Relationship Id="rId24" Type="http://schemas.openxmlformats.org/officeDocument/2006/relationships/hyperlink" Target="https://www.auf.org.uy/imagenes/img_contenido/seleccion_jugador/a/atilio_ancheta_.jpg" TargetMode="External"/><Relationship Id="rId23" Type="http://schemas.openxmlformats.org/officeDocument/2006/relationships/hyperlink" Target="https://es.wikipedia.org/wiki/Atilio_Ancheta" TargetMode="External"/><Relationship Id="rId26" Type="http://schemas.openxmlformats.org/officeDocument/2006/relationships/hyperlink" Target="https://es.wikipedia.org/wiki/Brian_Rodr%C3%ADguez" TargetMode="External"/><Relationship Id="rId25" Type="http://schemas.openxmlformats.org/officeDocument/2006/relationships/hyperlink" Target="https://www.auf.org.uy/imagenes/img_contenido/seleccion_jugador/a/baudilio_jauregui_anefo.jpg" TargetMode="External"/><Relationship Id="rId28" Type="http://schemas.openxmlformats.org/officeDocument/2006/relationships/hyperlink" Target="https://es.wikipedia.org/wiki/Carlos_Alberto_Aguilera" TargetMode="External"/><Relationship Id="rId27" Type="http://schemas.openxmlformats.org/officeDocument/2006/relationships/hyperlink" Target="https://www.auf.org.uy/imagenes/img_contenido/seleccion_jugador/a/rodriguez-brian-ct.jpg" TargetMode="External"/><Relationship Id="rId29" Type="http://schemas.openxmlformats.org/officeDocument/2006/relationships/hyperlink" Target="https://www.auf.org.uy/imagenes/img_contenido/seleccion_jugador/a/aguileracarlos.jpg" TargetMode="External"/><Relationship Id="rId11" Type="http://schemas.openxmlformats.org/officeDocument/2006/relationships/hyperlink" Target="https://upload.wikimedia.org/wikipedia/commons/thumb/2/25/Alvaro_Fernandez_Sounders-1.jpg/330px-Alvaro_Fernandez_Sounders-1.jpg" TargetMode="External"/><Relationship Id="rId10" Type="http://schemas.openxmlformats.org/officeDocument/2006/relationships/hyperlink" Target="https://www.auf.org.uy/imagenes/img_contenido/seleccion_jugador/a/alfonso_dominguez_un.jpg" TargetMode="External"/><Relationship Id="rId13" Type="http://schemas.openxmlformats.org/officeDocument/2006/relationships/hyperlink" Target="https://upload.wikimedia.org/wikipedia/commons/thumb/e/e3/%C3%81lvaro_Rafael_Gonz%C3%A1lez.jpg/250px-%C3%81lvaro_Rafael_Gonz%C3%A1lez.jpg" TargetMode="External"/><Relationship Id="rId12" Type="http://schemas.openxmlformats.org/officeDocument/2006/relationships/hyperlink" Target="https://www.auf.org.uy/imagenes/img_contenido/seleccion_jugador/a/alvaro_gestido_.jpg" TargetMode="External"/><Relationship Id="rId15" Type="http://schemas.openxmlformats.org/officeDocument/2006/relationships/hyperlink" Target="https://upload.wikimedia.org/wikipedia/commons/thumb/7/75/%C3%81lvaro_Chino_Recoba_120520-1175-jikatu_%28cropped%29.jpg/330px-%C3%81lvaro_Chino_Recoba_120520-1175-jikatu_%28cropped%29.jpg" TargetMode="External"/><Relationship Id="rId14" Type="http://schemas.openxmlformats.org/officeDocument/2006/relationships/hyperlink" Target="https://upload.wikimedia.org/wikipedia/commons/thumb/2/29/U06_%C3%81lvaro_Pereira_3372.jpg/250px-U06_%C3%81lvaro_Pereira_3372.jpg" TargetMode="External"/><Relationship Id="rId17" Type="http://schemas.openxmlformats.org/officeDocument/2006/relationships/hyperlink" Target="https://upload.wikimedia.org/wikipedia/commons/thumb/4/41/Pe%C3%B1arol_-_campeon_de_america_1961.jpg/250px-Pe%C3%B1arol_-_campeon_de_america_1961.jpg" TargetMode="External"/><Relationship Id="rId16" Type="http://schemas.openxmlformats.org/officeDocument/2006/relationships/hyperlink" Target="https://www.auf.org.uy/imagenes/img_contenido/seleccion_jugador/a/andres_scotti_gettyimages.jpg" TargetMode="External"/><Relationship Id="rId19" Type="http://schemas.openxmlformats.org/officeDocument/2006/relationships/hyperlink" Target="https://www.auf.org.uy/imagenes/img_contenido/seleccion_jugador/a/carlos_riolfo_2.jpg" TargetMode="External"/><Relationship Id="rId18" Type="http://schemas.openxmlformats.org/officeDocument/2006/relationships/hyperlink" Target="https://es.wikipedia.org/wiki/Carlos_Riolfo" TargetMode="External"/><Relationship Id="rId84" Type="http://schemas.openxmlformats.org/officeDocument/2006/relationships/hyperlink" Target="https://es.wikipedia.org/wiki/Domingo_Tejera" TargetMode="External"/><Relationship Id="rId83" Type="http://schemas.openxmlformats.org/officeDocument/2006/relationships/hyperlink" Target="https://www.auf.org.uy/imagenes/img_contenido/seleccion_jugador/a/enxofrancescoli.jpg" TargetMode="External"/><Relationship Id="rId86" Type="http://schemas.openxmlformats.org/officeDocument/2006/relationships/hyperlink" Target="https://es.wikipedia.org/wiki/Ernesto_Vidal" TargetMode="External"/><Relationship Id="rId85" Type="http://schemas.openxmlformats.org/officeDocument/2006/relationships/hyperlink" Target="https://www.auf.org.uy/imagenes/img_contenido/seleccion_jugador/a/domingo_tejera_2.jpg" TargetMode="External"/><Relationship Id="rId88" Type="http://schemas.openxmlformats.org/officeDocument/2006/relationships/hyperlink" Target="https://es.wikipedia.org/wiki/Eusebio_Tejera" TargetMode="External"/><Relationship Id="rId87" Type="http://schemas.openxmlformats.org/officeDocument/2006/relationships/hyperlink" Target="https://www.auf.org.uy/imagenes/img_contenido/seleccion_jugador/a/ernesto_vidal_.jpg" TargetMode="External"/><Relationship Id="rId89" Type="http://schemas.openxmlformats.org/officeDocument/2006/relationships/hyperlink" Target="https://www.auf.org.uy/imagenes/img_contenido/seleccion_jugador/a/eusebio_tejera_.jpg" TargetMode="External"/><Relationship Id="rId80" Type="http://schemas.openxmlformats.org/officeDocument/2006/relationships/hyperlink" Target="https://es.wikipedia.org/wiki/Angel_Romano" TargetMode="External"/><Relationship Id="rId82" Type="http://schemas.openxmlformats.org/officeDocument/2006/relationships/hyperlink" Target="https://es.wikipedia.org/wiki/Enzo_Francescoli" TargetMode="External"/><Relationship Id="rId81" Type="http://schemas.openxmlformats.org/officeDocument/2006/relationships/hyperlink" Target="https://www.auf.org.uy/imagenes/img_contenido/seleccion_jugador/a/angel_romano_.jpg" TargetMode="External"/><Relationship Id="rId73" Type="http://schemas.openxmlformats.org/officeDocument/2006/relationships/hyperlink" Target="https://www.auf.org.uy/imagenes/img_contenido/seleccion_jugador/a/eliseo_alvarez_.jpg" TargetMode="External"/><Relationship Id="rId72" Type="http://schemas.openxmlformats.org/officeDocument/2006/relationships/hyperlink" Target="https://en.wikipedia.org/wiki/Eliseo_%C3%81lvarez" TargetMode="External"/><Relationship Id="rId75" Type="http://schemas.openxmlformats.org/officeDocument/2006/relationships/hyperlink" Target="https://www.auf.org.uy/imagenes/img_contenido/seleccion_jugador/a/eliseo_rivero_un.jpg" TargetMode="External"/><Relationship Id="rId74" Type="http://schemas.openxmlformats.org/officeDocument/2006/relationships/hyperlink" Target="https://es.wikipedia.org/wiki/Eliseo_Rivero" TargetMode="External"/><Relationship Id="rId77" Type="http://schemas.openxmlformats.org/officeDocument/2006/relationships/hyperlink" Target="https://www.auf.org.uy/imagenes/img_contenido/seleccion_jugador/a/martinez-emiliano-ct.jpg" TargetMode="External"/><Relationship Id="rId76" Type="http://schemas.openxmlformats.org/officeDocument/2006/relationships/hyperlink" Target="https://es.wikipedia.org/wiki/Emiliano_Mart%C3%ADnez_Toranza" TargetMode="External"/><Relationship Id="rId79" Type="http://schemas.openxmlformats.org/officeDocument/2006/relationships/hyperlink" Target="https://www.auf.org.uy/imagenes/img_contenido/seleccion_jugador/a/angel_melogno_3.jpg" TargetMode="External"/><Relationship Id="rId78" Type="http://schemas.openxmlformats.org/officeDocument/2006/relationships/hyperlink" Target="https://www.auf.org.uy/imagenes/img_contenido/seleccion_jugador/a/emilio_alvarez_.jpg" TargetMode="External"/><Relationship Id="rId71" Type="http://schemas.openxmlformats.org/officeDocument/2006/relationships/hyperlink" Target="https://upload.wikimedia.org/wikipedia/commons/8/8c/U17_Egidio_Ar%C3%A9valo_R%C3%ADos_7559.jpg" TargetMode="External"/><Relationship Id="rId70" Type="http://schemas.openxmlformats.org/officeDocument/2006/relationships/hyperlink" Target="https://www.auf.org.uy/imagenes/img_contenido/seleccion_jugador/a/eduardo_pereira_un.jpg" TargetMode="External"/><Relationship Id="rId62" Type="http://schemas.openxmlformats.org/officeDocument/2006/relationships/hyperlink" Target="https://www.auf.org.uy/imagenes/img_contenido/seleccion_jugador/a/lorenzo_fernandez_.jpg" TargetMode="External"/><Relationship Id="rId61" Type="http://schemas.openxmlformats.org/officeDocument/2006/relationships/hyperlink" Target="https://www.auf.org.uy/imagenes/img_contenido/seleccion_jugador/a/domingo_perez_2.jpg" TargetMode="External"/><Relationship Id="rId64" Type="http://schemas.openxmlformats.org/officeDocument/2006/relationships/hyperlink" Target="https://www.auf.org.uy/imagenes/img_contenido/seleccion_jugador/a/edgardo_gonzalez_.jpg" TargetMode="External"/><Relationship Id="rId63" Type="http://schemas.openxmlformats.org/officeDocument/2006/relationships/hyperlink" Target="https://www.auf.org.uy/edgardo-gonzalez/" TargetMode="External"/><Relationship Id="rId66" Type="http://schemas.openxmlformats.org/officeDocument/2006/relationships/hyperlink" Target="https://www.auf.org.uy/imagenes/img_contenido/seleccion_jugador/a/cavani-2022.jpg" TargetMode="External"/><Relationship Id="rId65" Type="http://schemas.openxmlformats.org/officeDocument/2006/relationships/hyperlink" Target="https://es.wikipedia.org/wiki/Edinson_Cavani" TargetMode="External"/><Relationship Id="rId68" Type="http://schemas.openxmlformats.org/officeDocument/2006/relationships/hyperlink" Target="https://www.auf.org.uy/imagenes/img_contenido/seleccion_jugador/a/eduardo_acevedo_.jpg" TargetMode="External"/><Relationship Id="rId67" Type="http://schemas.openxmlformats.org/officeDocument/2006/relationships/hyperlink" Target="https://es.wikipedia.org/wiki/Eduardo_Mario_Acevedo" TargetMode="External"/><Relationship Id="rId60" Type="http://schemas.openxmlformats.org/officeDocument/2006/relationships/hyperlink" Target="https://img.a.transfermarkt.technology/portrait/big/s_20378_1025_2013_09_23_1.jpg?lm=1" TargetMode="External"/><Relationship Id="rId69" Type="http://schemas.openxmlformats.org/officeDocument/2006/relationships/hyperlink" Target="https://es.wikipedia.org/wiki/Eduardo_Pereira" TargetMode="External"/><Relationship Id="rId51" Type="http://schemas.openxmlformats.org/officeDocument/2006/relationships/hyperlink" Target="https://www.auf.org.uy/imagenes/img_contenido/seleccion_jugador/a/nunez-darwin-ct.jpg" TargetMode="External"/><Relationship Id="rId50" Type="http://schemas.openxmlformats.org/officeDocument/2006/relationships/hyperlink" Target="https://www.auf.org.uy/imagenes/img_contenido/seleccion_jugador/a/dario_silva_gettyimages.jpg" TargetMode="External"/><Relationship Id="rId53" Type="http://schemas.openxmlformats.org/officeDocument/2006/relationships/hyperlink" Target="https://www.auf.org.uy/imagenes/img_contenido/seleccion_jugador/a/denis_milar_gv.jpg" TargetMode="External"/><Relationship Id="rId52" Type="http://schemas.openxmlformats.org/officeDocument/2006/relationships/hyperlink" Target="https://es.wikipedia.org/wiki/Denis_Milar" TargetMode="External"/><Relationship Id="rId55" Type="http://schemas.openxmlformats.org/officeDocument/2006/relationships/hyperlink" Target="https://www.auf.org.uy/imagenes/img_contenido/seleccion_jugador/a/godin-diego-2022.jpg" TargetMode="External"/><Relationship Id="rId54" Type="http://schemas.openxmlformats.org/officeDocument/2006/relationships/hyperlink" Target="https://www.auf.org.uy/imagenes/img_contenido/seleccion_jugador/a/diego_forlan_gettyimages.jpg" TargetMode="External"/><Relationship Id="rId57" Type="http://schemas.openxmlformats.org/officeDocument/2006/relationships/hyperlink" Target="https://www.auf.org.uy/imagenes/img_contenido/seleccion_jugador/a/diego_laxalt_auf.jpg" TargetMode="External"/><Relationship Id="rId56" Type="http://schemas.openxmlformats.org/officeDocument/2006/relationships/hyperlink" Target="https://es.wikipedia.org/wiki/Diego_Laxalt" TargetMode="External"/><Relationship Id="rId59" Type="http://schemas.openxmlformats.org/officeDocument/2006/relationships/hyperlink" Target="https://www.auf.org.uy/imagenes/img_contenido/seleccion_jugador/a/diego_lugano_gettyimages.jpg" TargetMode="External"/><Relationship Id="rId58" Type="http://schemas.openxmlformats.org/officeDocument/2006/relationships/hyperlink" Target="https://es.wikipedia.org/wiki/Diego_Lugano" TargetMode="External"/><Relationship Id="rId107" Type="http://schemas.openxmlformats.org/officeDocument/2006/relationships/hyperlink" Target="https://es.wikipedia.org/wiki/Fernando_Morena" TargetMode="External"/><Relationship Id="rId228" Type="http://schemas.openxmlformats.org/officeDocument/2006/relationships/hyperlink" Target="https://es.wikipedia.org/wiki/Luis_Maidana" TargetMode="External"/><Relationship Id="rId349" Type="http://schemas.openxmlformats.org/officeDocument/2006/relationships/hyperlink" Target="https://es.wikipedia.org/wiki/Zoilo_Saldombide" TargetMode="External"/><Relationship Id="rId106" Type="http://schemas.openxmlformats.org/officeDocument/2006/relationships/hyperlink" Target="https://www.auf.org.uy/imagenes/img_contenido/seleccion_jugador/a/fernando_alvez_giovinatti2.jpg" TargetMode="External"/><Relationship Id="rId227" Type="http://schemas.openxmlformats.org/officeDocument/2006/relationships/hyperlink" Target="https://upload.wikimedia.org/wikipedia/commons/thumb/8/85/Luis_Garisto_%28cropped%29.jpg/250px-Luis_Garisto_%28cropped%29.jpg" TargetMode="External"/><Relationship Id="rId348" Type="http://schemas.openxmlformats.org/officeDocument/2006/relationships/hyperlink" Target="https://www.auf.org.uy/imagenes/img_contenido/seleccion_jugador/a/ostolazasantiago.jpg" TargetMode="External"/><Relationship Id="rId105" Type="http://schemas.openxmlformats.org/officeDocument/2006/relationships/hyperlink" Target="https://www.auf.org.uy/imagenes/img_contenido/seleccion_jugador/a/felipe_revelez_un.jpg" TargetMode="External"/><Relationship Id="rId226" Type="http://schemas.openxmlformats.org/officeDocument/2006/relationships/hyperlink" Target="https://es.wikipedia.org/wiki/Luis_Garisto" TargetMode="External"/><Relationship Id="rId347" Type="http://schemas.openxmlformats.org/officeDocument/2006/relationships/hyperlink" Target="https://es.wikipedia.org/wiki/Santiago_Ostolaza" TargetMode="External"/><Relationship Id="rId104" Type="http://schemas.openxmlformats.org/officeDocument/2006/relationships/hyperlink" Target="https://es.wikipedia.org/wiki/Daniel_Felipe_Revelez" TargetMode="External"/><Relationship Id="rId225" Type="http://schemas.openxmlformats.org/officeDocument/2006/relationships/hyperlink" Target="https://upload.wikimedia.org/wikipedia/commons/a/ac/Luis_Ernesto_Castro%2C_Estadio%2C_1948-03-06_%28251%29_%28cropped%29.jpg" TargetMode="External"/><Relationship Id="rId346" Type="http://schemas.openxmlformats.org/officeDocument/2006/relationships/hyperlink" Target="https://www.auf.org.uy/imagenes/img_contenido/seleccion_jugador/a/mele-santiago-ct.jpg" TargetMode="External"/><Relationship Id="rId109" Type="http://schemas.openxmlformats.org/officeDocument/2006/relationships/hyperlink" Target="https://es.wikipedia.org/wiki/Fernando_Muslera" TargetMode="External"/><Relationship Id="rId108" Type="http://schemas.openxmlformats.org/officeDocument/2006/relationships/hyperlink" Target="https://www.auf.org.uy/imagenes/img_contenido/seleccion_jugador/a/fernando_morena_gv.jpg" TargetMode="External"/><Relationship Id="rId229" Type="http://schemas.openxmlformats.org/officeDocument/2006/relationships/hyperlink" Target="https://upload.wikimedia.org/wikipedia/commons/thumb/4/41/Pe%C3%B1arol_-_campeon_de_america_1961.jpg/250px-Pe%C3%B1arol_-_campeon_de_america_1961.jpg" TargetMode="External"/><Relationship Id="rId220" Type="http://schemas.openxmlformats.org/officeDocument/2006/relationships/hyperlink" Target="https://es.wikipedia.org/wiki/Luis_Alberto_Cruz" TargetMode="External"/><Relationship Id="rId341" Type="http://schemas.openxmlformats.org/officeDocument/2006/relationships/hyperlink" Target="https://pbs.twimg.com/media/EPA0CpHX0AEM-XH.jpg" TargetMode="External"/><Relationship Id="rId340" Type="http://schemas.openxmlformats.org/officeDocument/2006/relationships/hyperlink" Target="https://www.auf.org.uy/imagenes/img_contenido/seleccion_jugador/a/ruben_pereira_un.jpg" TargetMode="External"/><Relationship Id="rId103" Type="http://schemas.openxmlformats.org/officeDocument/2006/relationships/hyperlink" Target="https://www.auf.org.uy/imagenes/img_contenido/seleccion_jugador/a/federico-vinas232.jpg" TargetMode="External"/><Relationship Id="rId224" Type="http://schemas.openxmlformats.org/officeDocument/2006/relationships/hyperlink" Target="https://es.wikipedia.org/wiki/Luis_Ernesto_Castro" TargetMode="External"/><Relationship Id="rId345" Type="http://schemas.openxmlformats.org/officeDocument/2006/relationships/hyperlink" Target="https://es.wikipedia.org/wiki/Santiago_Mele" TargetMode="External"/><Relationship Id="rId102" Type="http://schemas.openxmlformats.org/officeDocument/2006/relationships/hyperlink" Target="https://es.wikipedia.org/wiki/Federico_Vi%C3%B1as" TargetMode="External"/><Relationship Id="rId223" Type="http://schemas.openxmlformats.org/officeDocument/2006/relationships/hyperlink" Target="https://upload.wikimedia.org/wikipedia/commons/5/5c/LuisCubilla1984.png" TargetMode="External"/><Relationship Id="rId344" Type="http://schemas.openxmlformats.org/officeDocument/2006/relationships/hyperlink" Target="https://www.auf.org.uy/imagenes/img_contenido/seleccion_jugador/a/bueno.png" TargetMode="External"/><Relationship Id="rId101" Type="http://schemas.openxmlformats.org/officeDocument/2006/relationships/hyperlink" Target="https://www.auf.org.uy/imagenes/img_contenido/seleccion_jugador/a/valverde-federico-ct.jpg" TargetMode="External"/><Relationship Id="rId222" Type="http://schemas.openxmlformats.org/officeDocument/2006/relationships/hyperlink" Target="https://es.wikipedia.org/wiki/Luis_Cubilla" TargetMode="External"/><Relationship Id="rId343" Type="http://schemas.openxmlformats.org/officeDocument/2006/relationships/hyperlink" Target="https://es.wikipedia.org/wiki/Santiago_Bueno" TargetMode="External"/><Relationship Id="rId100" Type="http://schemas.openxmlformats.org/officeDocument/2006/relationships/hyperlink" Target="https://es.wikipedia.org/wiki/Federico_Valverde" TargetMode="External"/><Relationship Id="rId221" Type="http://schemas.openxmlformats.org/officeDocument/2006/relationships/hyperlink" Target="https://upload.wikimedia.org/wikipedia/commons/7/7e/Luis_Alberto_Cruz%2C_Estadio%2C_1951-02-24_%28406%29.jpg" TargetMode="External"/><Relationship Id="rId342" Type="http://schemas.openxmlformats.org/officeDocument/2006/relationships/hyperlink" Target="https://www.auf.org.uy/imagenes/img_contenido/seleccion_jugador/a/sosaruben.jpg" TargetMode="External"/><Relationship Id="rId217" Type="http://schemas.openxmlformats.org/officeDocument/2006/relationships/hyperlink" Target="https://upload.wikimedia.org/wikipedia/commons/0/01/Juan_Anselmo.jpg" TargetMode="External"/><Relationship Id="rId338" Type="http://schemas.openxmlformats.org/officeDocument/2006/relationships/hyperlink" Target="https://upload.wikimedia.org/wikipedia/commons/thumb/c/cb/Ruben_Moran_-_1950.jpg/250px-Ruben_Moran_-_1950.jpg" TargetMode="External"/><Relationship Id="rId216" Type="http://schemas.openxmlformats.org/officeDocument/2006/relationships/hyperlink" Target="https://es.wikipedia.org/wiki/Juan_Peregrino_Anselmo" TargetMode="External"/><Relationship Id="rId337" Type="http://schemas.openxmlformats.org/officeDocument/2006/relationships/hyperlink" Target="https://es.wikipedia.org/wiki/Ruben_Moran" TargetMode="External"/><Relationship Id="rId215" Type="http://schemas.openxmlformats.org/officeDocument/2006/relationships/hyperlink" Target="https://upload.wikimedia.org/wikipedia/commons/thumb/d/df/WK_74_training_Uruguay_in_Duitsburg%2C_keeper_Mazurkievic_laat_zijn_handen_zien%2C_Bestanddeelnr_927-2464.jpg/250px-WK_74_training_Uruguay_in_Duitsburg%2C_keeper_Mazurkievic_laat_zijn_handen_zien%2C_Bestanddeelnr_927-2464.jpg" TargetMode="External"/><Relationship Id="rId336" Type="http://schemas.openxmlformats.org/officeDocument/2006/relationships/hyperlink" Target="https://www.auf.org.uy/imagenes/img_contenido/seleccion_jugador/a/ruben_gonzalez_.jpg" TargetMode="External"/><Relationship Id="rId214" Type="http://schemas.openxmlformats.org/officeDocument/2006/relationships/hyperlink" Target="https://es.wikipedia.org/wiki/Ladislao_Mazurkiewicz" TargetMode="External"/><Relationship Id="rId335" Type="http://schemas.openxmlformats.org/officeDocument/2006/relationships/hyperlink" Target="https://www.auf.org.uy/ruben-gonzalez/" TargetMode="External"/><Relationship Id="rId219" Type="http://schemas.openxmlformats.org/officeDocument/2006/relationships/hyperlink" Target="https://upload.wikimedia.org/wikipedia/commons/thumb/e/e9/Lucas_Torreira.jpg/250px-Lucas_Torreira.jpg" TargetMode="External"/><Relationship Id="rId218" Type="http://schemas.openxmlformats.org/officeDocument/2006/relationships/hyperlink" Target="https://es.wikipedia.org/wiki/Lucas_Torreira" TargetMode="External"/><Relationship Id="rId339" Type="http://schemas.openxmlformats.org/officeDocument/2006/relationships/hyperlink" Target="https://upload.wikimedia.org/wikipedia/commons/thumb/1/18/Ruben_paz_racing2.jpg/250px-Ruben_paz_racing2.jpg" TargetMode="External"/><Relationship Id="rId330" Type="http://schemas.openxmlformats.org/officeDocument/2006/relationships/hyperlink" Target="https://atilio.uy/jugador:986" TargetMode="External"/><Relationship Id="rId213" Type="http://schemas.openxmlformats.org/officeDocument/2006/relationships/hyperlink" Target="https://upload.wikimedia.org/wikipedia/commons/thumb/3/38/Urug1950.jpg/250px-Urug1950.jpg" TargetMode="External"/><Relationship Id="rId334" Type="http://schemas.openxmlformats.org/officeDocument/2006/relationships/hyperlink" Target="https://www.auf.org.uy/imagenes/img_contenido/seleccion_jugador/a/ruben_romeo_corbo_.jpg" TargetMode="External"/><Relationship Id="rId212" Type="http://schemas.openxmlformats.org/officeDocument/2006/relationships/hyperlink" Target="https://upload.wikimedia.org/wikipedia/commons/thumb/6/60/Julio_Montero_Castillo_%281974%29.jpg/250px-Julio_Montero_Castillo_%281974%29.jpg" TargetMode="External"/><Relationship Id="rId333" Type="http://schemas.openxmlformats.org/officeDocument/2006/relationships/hyperlink" Target="https://upload.wikimedia.org/wikipedia/commons/thumb/2/22/R%C3%BAben_Bare%C3%B1o.png/250px-R%C3%BAben_Bare%C3%B1o.png" TargetMode="External"/><Relationship Id="rId211" Type="http://schemas.openxmlformats.org/officeDocument/2006/relationships/hyperlink" Target="https://es.wikipedia.org/wiki/Julio_Montero_Castillo" TargetMode="External"/><Relationship Id="rId332" Type="http://schemas.openxmlformats.org/officeDocument/2006/relationships/hyperlink" Target="https://upload.wikimedia.org/wikipedia/commons/thumb/d/d0/Roque_maspoli_posando.jpg/330px-Roque_maspoli_posando.jpg" TargetMode="External"/><Relationship Id="rId210" Type="http://schemas.openxmlformats.org/officeDocument/2006/relationships/hyperlink" Target="https://www.auf.org.uy/imagenes/img_contenido/seleccion_jugador/a/julio_maceiras_.jpg" TargetMode="External"/><Relationship Id="rId331" Type="http://schemas.openxmlformats.org/officeDocument/2006/relationships/hyperlink" Target="https://www.auf.org.uy/imagenes/img_contenido/seleccion_jugador/a/ronald_langon_.jpg" TargetMode="External"/><Relationship Id="rId370" Type="http://schemas.openxmlformats.org/officeDocument/2006/relationships/hyperlink" Target="https://upload.wikimedia.org/wikipedia/commons/thumb/f/f8/V%C3%ADctor_Rodr%C3%ADguez_Andrade%2C_Estadio%2C_1952-04-12_%28465%29.jpg/250px-V%C3%ADctor_Rodr%C3%ADguez_Andrade%2C_Estadio%2C_1952-04-12_%28465%29.jpg" TargetMode="External"/><Relationship Id="rId129" Type="http://schemas.openxmlformats.org/officeDocument/2006/relationships/hyperlink" Target="https://es.wikipedia.org/wiki/Gustavo_De_Simone" TargetMode="External"/><Relationship Id="rId128" Type="http://schemas.openxmlformats.org/officeDocument/2006/relationships/hyperlink" Target="https://www.auf.org.uy/imagenes/img_contenido/seleccion_jugador/a/varela-guillermo-ct.jpg" TargetMode="External"/><Relationship Id="rId249" Type="http://schemas.openxmlformats.org/officeDocument/2006/relationships/hyperlink" Target="https://upload.wikimedia.org/wikipedia/commons/thumb/f/f8/Uruguay_-_Costa_Rica_FIFA_World_Cup_2014_%E2%80%93_Mart%C3%ADn_C%C3%A1ceres.jpg/330px-Uruguay_-_Costa_Rica_FIFA_World_Cup_2014_%E2%80%93_Mart%C3%ADn_C%C3%A1ceres.jpg" TargetMode="External"/><Relationship Id="rId127" Type="http://schemas.openxmlformats.org/officeDocument/2006/relationships/hyperlink" Target="https://es.wikipedia.org/wiki/Guillermo_Varela" TargetMode="External"/><Relationship Id="rId248" Type="http://schemas.openxmlformats.org/officeDocument/2006/relationships/hyperlink" Target="https://upload.wikimedia.org/wikipedia/commons/thumb/a/a5/Penarol_v_cobreloa_saralegui.jpg/330px-Penarol_v_cobreloa_saralegui.jpg" TargetMode="External"/><Relationship Id="rId369" Type="http://schemas.openxmlformats.org/officeDocument/2006/relationships/hyperlink" Target="https://upload.wikimedia.org/wikipedia/commons/thumb/f/f3/V%C3%ADctor_Esp%C3%A1rrago_%281972%29.png/250px-V%C3%ADctor_Esp%C3%A1rrago_%281972%29.png" TargetMode="External"/><Relationship Id="rId126" Type="http://schemas.openxmlformats.org/officeDocument/2006/relationships/hyperlink" Target="https://www.auf.org.uy/imagenes/img_contenido/seleccion_jugador/a/guillermo_escalada_.jpg" TargetMode="External"/><Relationship Id="rId247" Type="http://schemas.openxmlformats.org/officeDocument/2006/relationships/hyperlink" Target="https://es.wikipedia.org/wiki/Mario_Saralegui" TargetMode="External"/><Relationship Id="rId368" Type="http://schemas.openxmlformats.org/officeDocument/2006/relationships/hyperlink" Target="https://www.auf.org.uy/imagenes/img_contenido/seleccion_jugador/a/victor_diogo_.jpg" TargetMode="External"/><Relationship Id="rId121" Type="http://schemas.openxmlformats.org/officeDocument/2006/relationships/hyperlink" Target="https://es.wikipedia.org/wiki/Gonzalo_de_los_Santos" TargetMode="External"/><Relationship Id="rId242" Type="http://schemas.openxmlformats.org/officeDocument/2006/relationships/hyperlink" Target="https://www.auf.org.uy/imagenes/img_contenido/seleccion_jugador/a/mario_bergara_.jpg" TargetMode="External"/><Relationship Id="rId363" Type="http://schemas.openxmlformats.org/officeDocument/2006/relationships/hyperlink" Target="https://www.auf.org.uy/imagenes/img_contenido/seleccion_jugador/a/sergio_santin_un2.jpg" TargetMode="External"/><Relationship Id="rId120" Type="http://schemas.openxmlformats.org/officeDocument/2006/relationships/hyperlink" Target="https://www.auf.org.uy/imagenes/img_contenido/seleccion_jugador/a/de-arrascaeta-giorgian-ct.jpg" TargetMode="External"/><Relationship Id="rId241" Type="http://schemas.openxmlformats.org/officeDocument/2006/relationships/hyperlink" Target="https://en.wikipedia.org/wiki/Mario_Bergara_(footballer)" TargetMode="External"/><Relationship Id="rId362" Type="http://schemas.openxmlformats.org/officeDocument/2006/relationships/hyperlink" Target="https://upload.wikimedia.org/wikipedia/commons/thumb/b/bc/Sergio_Rochet_%282022%29.jpg/250px-Sergio_Rochet_%282022%29.jpg" TargetMode="External"/><Relationship Id="rId240" Type="http://schemas.openxmlformats.org/officeDocument/2006/relationships/hyperlink" Target="https://www.auf.org.uy/imagenes/img_contenido/seleccion_jugador/a/mario_gonzalez_panini.jpg" TargetMode="External"/><Relationship Id="rId361" Type="http://schemas.openxmlformats.org/officeDocument/2006/relationships/hyperlink" Target="https://es.wikipedia.org/wiki/Sergio_Rochet" TargetMode="External"/><Relationship Id="rId360" Type="http://schemas.openxmlformats.org/officeDocument/2006/relationships/hyperlink" Target="https://www.auf.org.uy/imagenes/img_contenido/seleccion_jugador/a/sergio_martinez_un.jpg" TargetMode="External"/><Relationship Id="rId125" Type="http://schemas.openxmlformats.org/officeDocument/2006/relationships/hyperlink" Target="https://es.wikipedia.org/wiki/Guillermo_Escalada" TargetMode="External"/><Relationship Id="rId246" Type="http://schemas.openxmlformats.org/officeDocument/2006/relationships/hyperlink" Target="https://upload.wikimedia.org/wikipedia/commons/thumb/d/d4/MarioIgnacioRegueiro.jpg/250px-MarioIgnacioRegueiro.jpg" TargetMode="External"/><Relationship Id="rId367" Type="http://schemas.openxmlformats.org/officeDocument/2006/relationships/hyperlink" Target="https://www.auf.org.uy/imagenes/img_contenido/seleccion_jugador/a/venancio_ramos_.jpg" TargetMode="External"/><Relationship Id="rId124" Type="http://schemas.openxmlformats.org/officeDocument/2006/relationships/hyperlink" Target="https://www.auf.org.uy/imagenes/img_contenido/seleccion_jugador/a/gonzalo_sorondo_pa.jpg" TargetMode="External"/><Relationship Id="rId245" Type="http://schemas.openxmlformats.org/officeDocument/2006/relationships/hyperlink" Target="https://es.wikipedia.org/wiki/Mario_Ignacio_Regueiro" TargetMode="External"/><Relationship Id="rId366" Type="http://schemas.openxmlformats.org/officeDocument/2006/relationships/hyperlink" Target="https://es.wikipedia.org/wiki/Venancio_Ramos" TargetMode="External"/><Relationship Id="rId123" Type="http://schemas.openxmlformats.org/officeDocument/2006/relationships/hyperlink" Target="https://es.wikipedia.org/wiki/Gonzalo_Sorondo" TargetMode="External"/><Relationship Id="rId244" Type="http://schemas.openxmlformats.org/officeDocument/2006/relationships/hyperlink" Target="https://www.auf.org.uy/imagenes/img_contenido/seleccion_jugador/a/mario_mendez_.jpg" TargetMode="External"/><Relationship Id="rId365" Type="http://schemas.openxmlformats.org/officeDocument/2006/relationships/hyperlink" Target="https://www.auf.org.uy/imagenes/img_contenido/seleccion_jugador/a/urbano-rivera.jpeg" TargetMode="External"/><Relationship Id="rId122" Type="http://schemas.openxmlformats.org/officeDocument/2006/relationships/hyperlink" Target="https://www.auf.org.uy/imagenes/img_contenido/seleccion_jugador/a/gonzalo_de_los_santos_gettyimages.jpg" TargetMode="External"/><Relationship Id="rId243" Type="http://schemas.openxmlformats.org/officeDocument/2006/relationships/hyperlink" Target="https://www.auf.org.uy/mario-mendez/" TargetMode="External"/><Relationship Id="rId364" Type="http://schemas.openxmlformats.org/officeDocument/2006/relationships/hyperlink" Target="https://www.auf.org.uy/urbano-rivera/" TargetMode="External"/><Relationship Id="rId95" Type="http://schemas.openxmlformats.org/officeDocument/2006/relationships/hyperlink" Target="https://www.auf.org.uy/imagenes/img_contenido/seleccion_jugador/a/facuuu.png" TargetMode="External"/><Relationship Id="rId94" Type="http://schemas.openxmlformats.org/officeDocument/2006/relationships/hyperlink" Target="https://es.wikipedia.org/wiki/Facundo_Torres" TargetMode="External"/><Relationship Id="rId97" Type="http://schemas.openxmlformats.org/officeDocument/2006/relationships/hyperlink" Target="https://www.elrionegrense.com.uy/wp-content/uploads/2022/06/FEDERICO-ELDUAYEN-ARQUERO-NOTA-PRINCIPAL-FOTO-universitariodesucre.blogspot.com-1-1.jpg" TargetMode="External"/><Relationship Id="rId96" Type="http://schemas.openxmlformats.org/officeDocument/2006/relationships/hyperlink" Target="https://es.wikipedia.org/wiki/Federico_Elduayen" TargetMode="External"/><Relationship Id="rId99" Type="http://schemas.openxmlformats.org/officeDocument/2006/relationships/hyperlink" Target="https://www.auf.org.uy/imagenes/img_contenido/seleccion_jugador/a/federico_magallanes_gettyimages.jpg" TargetMode="External"/><Relationship Id="rId98" Type="http://schemas.openxmlformats.org/officeDocument/2006/relationships/hyperlink" Target="https://es.wikipedia.org/wiki/Federico_Magallanes" TargetMode="External"/><Relationship Id="rId91" Type="http://schemas.openxmlformats.org/officeDocument/2006/relationships/hyperlink" Target="https://www.auf.org.uy/imagenes/img_contenido/seleccion_jugador/a/fabian_o-neil.jpg" TargetMode="External"/><Relationship Id="rId90" Type="http://schemas.openxmlformats.org/officeDocument/2006/relationships/hyperlink" Target="https://www.auf.org.uy/imagenes/img_contenido/seleccion_jugador/a/fabian_carini4.jpg" TargetMode="External"/><Relationship Id="rId93" Type="http://schemas.openxmlformats.org/officeDocument/2006/relationships/hyperlink" Target="https://www.auf.org.uy/imagenes/img_contenido/seleccion_jugador/a/pellistri-facundo-ct.jpg" TargetMode="External"/><Relationship Id="rId92" Type="http://schemas.openxmlformats.org/officeDocument/2006/relationships/hyperlink" Target="https://es.wikipedia.org/wiki/Facundo_Pellistri" TargetMode="External"/><Relationship Id="rId118" Type="http://schemas.openxmlformats.org/officeDocument/2006/relationships/hyperlink" Target="https://www.auf.org.uy/imagenes/img_contenido/seleccion_jugador/a/gianni_guigou_pa.jpg" TargetMode="External"/><Relationship Id="rId239" Type="http://schemas.openxmlformats.org/officeDocument/2006/relationships/hyperlink" Target="https://www.auf.org.uy/imagenes/img_contenido/seleccion_jugador/a/marcelo_romero_gettyimages.jpg" TargetMode="External"/><Relationship Id="rId117" Type="http://schemas.openxmlformats.org/officeDocument/2006/relationships/hyperlink" Target="https://es.wikipedia.org/wiki/Gianni_Guigou" TargetMode="External"/><Relationship Id="rId238" Type="http://schemas.openxmlformats.org/officeDocument/2006/relationships/hyperlink" Target="https://es.wikipedia.org/wiki/Marcelo_Romero" TargetMode="External"/><Relationship Id="rId359" Type="http://schemas.openxmlformats.org/officeDocument/2006/relationships/hyperlink" Target="https://upload.wikimedia.org/wikipedia/commons/2/28/Sebasti%C3%A1n_Sosa.jpg" TargetMode="External"/><Relationship Id="rId116" Type="http://schemas.openxmlformats.org/officeDocument/2006/relationships/hyperlink" Target="https://auf.org.uy/imagenes/img_contenido/seleccion_jugador/a/gaston_silva.jpg" TargetMode="External"/><Relationship Id="rId237" Type="http://schemas.openxmlformats.org/officeDocument/2006/relationships/hyperlink" Target="https://upload.wikimedia.org/wikipedia/commons/thumb/2/2e/M.UGARTE.jpg/250px-M.UGARTE.jpg" TargetMode="External"/><Relationship Id="rId358" Type="http://schemas.openxmlformats.org/officeDocument/2006/relationships/hyperlink" Target="https://upload.wikimedia.org/wikipedia/commons/e/ec/Malaga_trenning_%283%29.jpg" TargetMode="External"/><Relationship Id="rId115" Type="http://schemas.openxmlformats.org/officeDocument/2006/relationships/hyperlink" Target="https://www.auf.org.uy/imagenes/img_contenido/seleccion_jugador/a/gaston_ramirez_auf.jpg" TargetMode="External"/><Relationship Id="rId236" Type="http://schemas.openxmlformats.org/officeDocument/2006/relationships/hyperlink" Target="https://es.wikipedia.org/wiki/Manuel_Ugarte_(futbolista)" TargetMode="External"/><Relationship Id="rId357" Type="http://schemas.openxmlformats.org/officeDocument/2006/relationships/hyperlink" Target="https://upload.wikimedia.org/wikipedia/commons/thumb/1/17/Sebasti%C3%A1n_Eguren_2013.jpg/250px-Sebasti%C3%A1n_Eguren_2013.jpg" TargetMode="External"/><Relationship Id="rId119" Type="http://schemas.openxmlformats.org/officeDocument/2006/relationships/hyperlink" Target="https://es.wikipedia.org/wiki/Giorgian_De_Arrascaeta" TargetMode="External"/><Relationship Id="rId110" Type="http://schemas.openxmlformats.org/officeDocument/2006/relationships/hyperlink" Target="https://www.auf.org.uy/imagenes/img_contenido/seleccion_jugador/a/muslera.jpg" TargetMode="External"/><Relationship Id="rId231" Type="http://schemas.openxmlformats.org/officeDocument/2006/relationships/hyperlink" Target="https://www.auf.org.uy/imagenes/img_contenido/seleccion_jugador/a/luis_ramos_.jpg" TargetMode="External"/><Relationship Id="rId352" Type="http://schemas.openxmlformats.org/officeDocument/2006/relationships/hyperlink" Target="https://upload.wikimedia.org/wikipedia/commons/thumb/3/38/Urug1950.jpg/250px-Urug1950.jpg" TargetMode="External"/><Relationship Id="rId230" Type="http://schemas.openxmlformats.org/officeDocument/2006/relationships/hyperlink" Target="https://es.wikipedia.org/wiki/Luis_Ramos_(futbolista_uruguayo,_1939)" TargetMode="External"/><Relationship Id="rId351" Type="http://schemas.openxmlformats.org/officeDocument/2006/relationships/hyperlink" Target="https://es.wikipedia.org/wiki/Schubert_Gambetta" TargetMode="External"/><Relationship Id="rId350" Type="http://schemas.openxmlformats.org/officeDocument/2006/relationships/hyperlink" Target="https://www.auf.org.uy/imagenes/img_contenido/seleccion_jugador/a/zoilo_saldombide_.jpg" TargetMode="External"/><Relationship Id="rId114" Type="http://schemas.openxmlformats.org/officeDocument/2006/relationships/hyperlink" Target="https://www.auf.org.uy/imagenes/img_contenido/seleccion_jugador/a/gabriel_correa_2.jpg" TargetMode="External"/><Relationship Id="rId235" Type="http://schemas.openxmlformats.org/officeDocument/2006/relationships/hyperlink" Target="https://upload.wikimedia.org/wikipedia/commons/thumb/5/5d/Luis_Ubi%C3%B1a_1970.jpg/250px-Luis_Ubi%C3%B1a_1970.jpg" TargetMode="External"/><Relationship Id="rId356" Type="http://schemas.openxmlformats.org/officeDocument/2006/relationships/hyperlink" Target="https://upload.wikimedia.org/wikipedia/commons/thumb/0/0f/SELECCI%C3%93N_URUGUAY_%2822557495689%29_%28cropped%29.jpg/250px-SELECCI%C3%93N_URUGUAY_%2822557495689%29_%28cropped%29.jpg" TargetMode="External"/><Relationship Id="rId113" Type="http://schemas.openxmlformats.org/officeDocument/2006/relationships/hyperlink" Target="https://es.wikipedia.org/wiki/Carlos_Gabriel_Correa_Viana" TargetMode="External"/><Relationship Id="rId234" Type="http://schemas.openxmlformats.org/officeDocument/2006/relationships/hyperlink" Target="https://www.auf.org.uy/imagenes/img_contenido/seleccion_jugador/a/suarez-luis-ct.jpg" TargetMode="External"/><Relationship Id="rId355" Type="http://schemas.openxmlformats.org/officeDocument/2006/relationships/hyperlink" Target="https://www.auf.org.uy/imagenes/img_contenido/seleccion_jugador/a/caceres-sebastian-ct-1.jpg" TargetMode="External"/><Relationship Id="rId112" Type="http://schemas.openxmlformats.org/officeDocument/2006/relationships/hyperlink" Target="https://upload.wikimedia.org/wikipedia/commons/7/7c/Francisco_C%C3%A1mera.jpg" TargetMode="External"/><Relationship Id="rId233" Type="http://schemas.openxmlformats.org/officeDocument/2006/relationships/hyperlink" Target="https://www.auf.org.uy/imagenes/img_contenido/seleccion_jugador/a/lusirijo222.jpg" TargetMode="External"/><Relationship Id="rId354" Type="http://schemas.openxmlformats.org/officeDocument/2006/relationships/hyperlink" Target="https://es.wikipedia.org/wiki/Sebasti%C3%A1n_C%C3%A1ceres" TargetMode="External"/><Relationship Id="rId111" Type="http://schemas.openxmlformats.org/officeDocument/2006/relationships/hyperlink" Target="https://en.wikipedia.org/wiki/Francisco_C%C3%A1mera" TargetMode="External"/><Relationship Id="rId232" Type="http://schemas.openxmlformats.org/officeDocument/2006/relationships/hyperlink" Target="https://es.wikipedia.org/wiki/Luis_Rijo" TargetMode="External"/><Relationship Id="rId353" Type="http://schemas.openxmlformats.org/officeDocument/2006/relationships/hyperlink" Target="https://upload.wikimedia.org/wikipedia/commons/thumb/7/7c/SEBASTIAN_ABREU_%2816846564431%29_%28cropped%29.jpg/500px-SEBASTIAN_ABREU_%2816846564431%29_%28cropped%29.jpg" TargetMode="External"/><Relationship Id="rId305" Type="http://schemas.openxmlformats.org/officeDocument/2006/relationships/hyperlink" Target="https://es.wikipedia.org/wiki/Rafael_Souto" TargetMode="External"/><Relationship Id="rId304" Type="http://schemas.openxmlformats.org/officeDocument/2006/relationships/hyperlink" Target="https://upload.wikimedia.org/wikipedia/commons/thumb/3/31/Pedro_Rocha_c1966b.jpg/250px-Pedro_Rocha_c1966b.jpg" TargetMode="External"/><Relationship Id="rId303" Type="http://schemas.openxmlformats.org/officeDocument/2006/relationships/hyperlink" Target="https://es.wikipedia.org/wiki/Pedro_Virgilio_Rocha" TargetMode="External"/><Relationship Id="rId302" Type="http://schemas.openxmlformats.org/officeDocument/2006/relationships/hyperlink" Target="https://upload.wikimedia.org/wikipedia/commons/thumb/3/31/Pedro_Rocha_c1966b.jpg/250px-Pedro_Rocha_c1966b.jpg" TargetMode="External"/><Relationship Id="rId309" Type="http://schemas.openxmlformats.org/officeDocument/2006/relationships/hyperlink" Target="https://es.wikipedia.org/wiki/Richard_Morales" TargetMode="External"/><Relationship Id="rId308" Type="http://schemas.openxmlformats.org/officeDocument/2006/relationships/hyperlink" Target="https://upload.wikimedia.org/wikipedia/commons/thumb/5/5f/Ricardo_Elbio_Pavoni.jpg/250px-Ricardo_Elbio_Pavoni.jpg" TargetMode="External"/><Relationship Id="rId307" Type="http://schemas.openxmlformats.org/officeDocument/2006/relationships/hyperlink" Target="https://es.wikipedia.org/wiki/Ricardo_Pavoni" TargetMode="External"/><Relationship Id="rId306" Type="http://schemas.openxmlformats.org/officeDocument/2006/relationships/hyperlink" Target="https://www.auf.org.uy/imagenes/img_contenido/seleccion_jugador/a/rafael-souto.jpeg" TargetMode="External"/><Relationship Id="rId301" Type="http://schemas.openxmlformats.org/officeDocument/2006/relationships/hyperlink" Target="https://es.wikipedia.org/wiki/Pedro_Rocha" TargetMode="External"/><Relationship Id="rId300" Type="http://schemas.openxmlformats.org/officeDocument/2006/relationships/hyperlink" Target="https://upload.wikimedia.org/wikipedia/commons/3/37/Santos_Iriarte_%28cropped%29.JPG" TargetMode="External"/><Relationship Id="rId206" Type="http://schemas.openxmlformats.org/officeDocument/2006/relationships/hyperlink" Target="https://upload.wikimedia.org/wikipedia/commons/d/de/Julio_C%C3%A9sar_Morales.jpg" TargetMode="External"/><Relationship Id="rId327" Type="http://schemas.openxmlformats.org/officeDocument/2006/relationships/hyperlink" Target="https://es.wikipedia.org/wiki/Rodrigo_Zalazar" TargetMode="External"/><Relationship Id="rId205" Type="http://schemas.openxmlformats.org/officeDocument/2006/relationships/hyperlink" Target="https://www.auf.org.uy/imagenes/img_contenido/seleccion_jugador/a/julio_cesar_jimenez_gv.jpg" TargetMode="External"/><Relationship Id="rId326" Type="http://schemas.openxmlformats.org/officeDocument/2006/relationships/hyperlink" Target="https://upload.wikimedia.org/wikipedia/commons/thumb/3/3f/Rodrigo_Mu%C3%B1oz.jpg/250px-Rodrigo_Mu%C3%B1oz.jpg" TargetMode="External"/><Relationship Id="rId204" Type="http://schemas.openxmlformats.org/officeDocument/2006/relationships/hyperlink" Target="https://upload.wikimedia.org/wikipedia/commons/8/8e/Julio_C%C3%A9sar_Cort%C3%A9s.png" TargetMode="External"/><Relationship Id="rId325" Type="http://schemas.openxmlformats.org/officeDocument/2006/relationships/hyperlink" Target="https://upload.wikimedia.org/wikipedia/commons/thumb/c/c8/20171114_AUT_URU_4518_-_Rodrigo_Bentancur_%28cropped%29_2.jpg/250px-20171114_AUT_URU_4518_-_Rodrigo_Bentancur_%28cropped%29_2.jpg" TargetMode="External"/><Relationship Id="rId203" Type="http://schemas.openxmlformats.org/officeDocument/2006/relationships/hyperlink" Target="https://www.auf.org.uy/imagenes/img_contenido/seleccion_jugador/a/julio_cesar_britos_.jpg" TargetMode="External"/><Relationship Id="rId324" Type="http://schemas.openxmlformats.org/officeDocument/2006/relationships/hyperlink" Target="https://es.wikipedia.org/wiki/Rodrigo_Bentancur" TargetMode="External"/><Relationship Id="rId209" Type="http://schemas.openxmlformats.org/officeDocument/2006/relationships/hyperlink" Target="https://es.wikipedia.org/wiki/Julio_Maceiras" TargetMode="External"/><Relationship Id="rId208" Type="http://schemas.openxmlformats.org/officeDocument/2006/relationships/hyperlink" Target="https://www.auf.org.uy/imagenes/img_contenido/seleccion_jugador/a/julio_losada_.jpg" TargetMode="External"/><Relationship Id="rId329" Type="http://schemas.openxmlformats.org/officeDocument/2006/relationships/hyperlink" Target="https://upload.wikimedia.org/wikipedia/commons/thumb/3/3f/FC_Red_Bull_Salzburg_gegen_CF_Barcelona_%28Testspiel_4._August_2021%29_45_%28cropped%29.jpg/250px-FC_Red_Bull_Salzburg_gegen_CF_Barcelona_%28Testspiel_4._August_2021%29_45_%28cropped%29.jpg" TargetMode="External"/><Relationship Id="rId207" Type="http://schemas.openxmlformats.org/officeDocument/2006/relationships/hyperlink" Target="https://www.auf.org.uy/julio-losada/" TargetMode="External"/><Relationship Id="rId328" Type="http://schemas.openxmlformats.org/officeDocument/2006/relationships/hyperlink" Target="https://www.auf.org.uy/imagenes/img_contenido/seleccion_jugador/a/zalazarrrrr.jpg" TargetMode="External"/><Relationship Id="rId202" Type="http://schemas.openxmlformats.org/officeDocument/2006/relationships/hyperlink" Target="https://upload.wikimedia.org/wikipedia/commons/a/a3/Julio_Abbadie_%28cropped%29.jpg" TargetMode="External"/><Relationship Id="rId323" Type="http://schemas.openxmlformats.org/officeDocument/2006/relationships/hyperlink" Target="https://www.auf.org.uy/imagenes/img_contenido/seleccion_jugador/a/raguirre.png" TargetMode="External"/><Relationship Id="rId201" Type="http://schemas.openxmlformats.org/officeDocument/2006/relationships/hyperlink" Target="https://upload.wikimedia.org/wikipedia/commons/thumb/0/0a/RIVER_PLATE-AUCAS_%2816411989891%29.jpg/330px-RIVER_PLATE-AUCAS_%2816411989891%29.jpg" TargetMode="External"/><Relationship Id="rId322" Type="http://schemas.openxmlformats.org/officeDocument/2006/relationships/hyperlink" Target="https://es.wikipedia.org/wiki/Rodrigo_Aguirre_Soto" TargetMode="External"/><Relationship Id="rId200" Type="http://schemas.openxmlformats.org/officeDocument/2006/relationships/hyperlink" Target="https://www.auf.org.uy/imagenes/img_contenido/seleccion_jugador/a/juan_carlos_calvo_.jpg" TargetMode="External"/><Relationship Id="rId321" Type="http://schemas.openxmlformats.org/officeDocument/2006/relationships/hyperlink" Target="https://upload.wikimedia.org/wikipedia/commons/thumb/5/54/Rodolfo_Sandoval.png/500px-Rodolfo_Sandoval.png" TargetMode="External"/><Relationship Id="rId320" Type="http://schemas.openxmlformats.org/officeDocument/2006/relationships/hyperlink" Target="https://en.wikipedia.org/wiki/Rodolfo_Sandoval" TargetMode="External"/><Relationship Id="rId316" Type="http://schemas.openxmlformats.org/officeDocument/2006/relationships/hyperlink" Target="https://upload.wikimedia.org/wikipedia/commons/thumb/d/da/Roberto_Eliseo_Sosa.jpg/250px-Roberto_Eliseo_Sosa.jpg" TargetMode="External"/><Relationship Id="rId315" Type="http://schemas.openxmlformats.org/officeDocument/2006/relationships/hyperlink" Target="https://es.wikipedia.org/wiki/Roberto_Eduardo_Sosa" TargetMode="External"/><Relationship Id="rId314" Type="http://schemas.openxmlformats.org/officeDocument/2006/relationships/hyperlink" Target="https://upload.wikimedia.org/wikipedia/commons/thumb/7/7c/Roberto_Matosas_%28River%29_-_El_Gr%C3%A1fico_2490.jpg/250px-Roberto_Matosas_%28River%29_-_El_Gr%C3%A1fico_2490.jpg" TargetMode="External"/><Relationship Id="rId313" Type="http://schemas.openxmlformats.org/officeDocument/2006/relationships/hyperlink" Target="https://es.wikipedia.org/wiki/Roberto_Matosas" TargetMode="External"/><Relationship Id="rId319" Type="http://schemas.openxmlformats.org/officeDocument/2006/relationships/hyperlink" Target="https://upload.wikimedia.org/wikipedia/commons/thumb/3/37/RodolfoRodr%C3%ADguez-Mundialito1980.jpg/250px-RodolfoRodr%C3%ADguez-Mundialito1980.jpg" TargetMode="External"/><Relationship Id="rId318" Type="http://schemas.openxmlformats.org/officeDocument/2006/relationships/hyperlink" Target="https://www.auf.org.uy/imagenes/img_contenido/seleccion_jugador/a/rodolfo_pini_.jpg" TargetMode="External"/><Relationship Id="rId317" Type="http://schemas.openxmlformats.org/officeDocument/2006/relationships/hyperlink" Target="https://es.wikipedia.org/wiki/Rodolfo_Pini" TargetMode="External"/><Relationship Id="rId312" Type="http://schemas.openxmlformats.org/officeDocument/2006/relationships/hyperlink" Target="https://www.auf.org.uy/imagenes/img_contenido/seleccion_jugador/a/roberto_leopardi_2.jpg" TargetMode="External"/><Relationship Id="rId311" Type="http://schemas.openxmlformats.org/officeDocument/2006/relationships/hyperlink" Target="https://www.auf.org.uy/roberto-leopardi/" TargetMode="External"/><Relationship Id="rId310" Type="http://schemas.openxmlformats.org/officeDocument/2006/relationships/hyperlink" Target="https://www.auf.org.uy/imagenes/img_contenido/seleccion_jugador/a/richard_morales_pa.jp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16.63"/>
    <col customWidth="1" min="3" max="3" width="21.63"/>
    <col customWidth="1" min="4" max="4" width="31.0"/>
    <col customWidth="1" min="5" max="5" width="16.63"/>
    <col customWidth="1" min="6" max="7" width="31.75"/>
    <col customWidth="1" min="8" max="8" width="29.5"/>
    <col customWidth="1" min="9" max="9" width="22.25"/>
    <col customWidth="1" min="10" max="10" width="10.38"/>
    <col customWidth="1" min="11" max="11" width="27.75"/>
    <col customWidth="1" min="12" max="12" width="12.13"/>
    <col customWidth="1" min="13" max="13" width="24.75"/>
    <col customWidth="1" min="16" max="16" width="12.0"/>
    <col customWidth="1" min="17" max="17" width="15.38"/>
    <col customWidth="1" min="18" max="18" width="6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3"/>
      <c r="U1" s="3"/>
      <c r="V1" s="4"/>
      <c r="W1" s="4"/>
      <c r="X1" s="4"/>
      <c r="Y1" s="4"/>
      <c r="Z1" s="4"/>
      <c r="AA1" s="4"/>
      <c r="AB1" s="4"/>
      <c r="AC1" s="4"/>
    </row>
    <row r="2">
      <c r="A2" s="5" t="s">
        <v>19</v>
      </c>
      <c r="B2" s="5" t="s">
        <v>20</v>
      </c>
      <c r="C2" s="6">
        <v>1.0</v>
      </c>
      <c r="D2" s="6">
        <v>2014.0</v>
      </c>
      <c r="E2" s="5" t="str">
        <f>IFERROR(__xludf.DUMMYFUNCTION("TEXTJOIN("", "",TRUE,ARRAYFORMULA(IF(COUNTIFS(capitanes!A:A,SPLIT(D2,"",""),capitanes!B:B,A2)&gt;0,1,0)))"),"0")</f>
        <v>0</v>
      </c>
      <c r="F2" s="5" t="str">
        <f>IFERROR(__xludf.DUMMYFUNCTION("JOIN("", "",ARRAYFORMULA(IFERROR(VLOOKUP(VALUE(TRIM(SPLIT(D2,"",""))), QUERY(goles!A:C,""select A, sum(C) where B='""&amp;A2&amp;""' group by A""),2,FALSE),0)))"),"0")</f>
        <v>0</v>
      </c>
      <c r="G2" s="5" t="s">
        <v>21</v>
      </c>
      <c r="H2" s="5" t="s">
        <v>22</v>
      </c>
      <c r="I2" s="7">
        <v>33093.0</v>
      </c>
      <c r="J2" s="8">
        <v>33093.0</v>
      </c>
      <c r="K2" s="5" t="s">
        <v>23</v>
      </c>
      <c r="L2" s="5" t="s">
        <v>24</v>
      </c>
      <c r="M2" s="5" t="s">
        <v>25</v>
      </c>
      <c r="N2" s="9" t="s">
        <v>26</v>
      </c>
      <c r="O2" s="9" t="s">
        <v>27</v>
      </c>
      <c r="P2" s="10">
        <v>-34.72154612</v>
      </c>
      <c r="Q2" s="10">
        <v>-55.95939243</v>
      </c>
      <c r="R2" s="5" t="s">
        <v>28</v>
      </c>
      <c r="S2" s="11" t="s">
        <v>29</v>
      </c>
      <c r="T2" s="12"/>
      <c r="U2" s="12"/>
    </row>
    <row r="3">
      <c r="A3" s="5" t="s">
        <v>30</v>
      </c>
      <c r="B3" s="5" t="s">
        <v>31</v>
      </c>
      <c r="C3" s="6">
        <v>2.0</v>
      </c>
      <c r="D3" s="6" t="s">
        <v>32</v>
      </c>
      <c r="E3" s="5" t="str">
        <f>IFERROR(__xludf.DUMMYFUNCTION("TEXTJOIN("", "",TRUE,ARRAYFORMULA(IF(COUNTIFS(capitanes!A:A,SPLIT(D3,"",""),capitanes!B:B,A3)&gt;0,1,0)))"),"0, 0")</f>
        <v>0, 0</v>
      </c>
      <c r="F3" s="5" t="str">
        <f>IFERROR(__xludf.DUMMYFUNCTION("JOIN("", "",ARRAYFORMULA(IFERROR(VLOOKUP(VALUE(TRIM(SPLIT(D3,"",""))), QUERY(goles!A:C,""select A, sum(C) where B='""&amp;A3&amp;""' group by A""),2,FALSE),0)))"),"0, 0")</f>
        <v>0, 0</v>
      </c>
      <c r="G3" s="5" t="s">
        <v>33</v>
      </c>
      <c r="H3" s="5" t="s">
        <v>34</v>
      </c>
      <c r="I3" s="7">
        <v>36069.0</v>
      </c>
      <c r="J3" s="8">
        <v>35805.0</v>
      </c>
      <c r="K3" s="5" t="s">
        <v>35</v>
      </c>
      <c r="L3" s="5" t="s">
        <v>35</v>
      </c>
      <c r="M3" s="5" t="s">
        <v>25</v>
      </c>
      <c r="N3" s="9" t="s">
        <v>36</v>
      </c>
      <c r="O3" s="9" t="s">
        <v>37</v>
      </c>
      <c r="P3" s="10">
        <v>-34.89453803</v>
      </c>
      <c r="Q3" s="10">
        <v>-56.15278107</v>
      </c>
      <c r="R3" s="5" t="s">
        <v>38</v>
      </c>
      <c r="S3" s="13" t="s">
        <v>39</v>
      </c>
      <c r="T3" s="12"/>
      <c r="U3" s="12"/>
    </row>
    <row r="4">
      <c r="A4" s="5" t="s">
        <v>40</v>
      </c>
      <c r="B4" s="5" t="s">
        <v>31</v>
      </c>
      <c r="C4" s="6">
        <v>1.0</v>
      </c>
      <c r="D4" s="6">
        <v>1974.0</v>
      </c>
      <c r="E4" s="5" t="str">
        <f>IFERROR(__xludf.DUMMYFUNCTION("TEXTJOIN("", "",TRUE,ARRAYFORMULA(IF(COUNTIFS(capitanes!A:A,SPLIT(D4,"",""),capitanes!B:B,A4)&gt;0,1,0)))"),"0")</f>
        <v>0</v>
      </c>
      <c r="F4" s="5" t="str">
        <f>IFERROR(__xludf.DUMMYFUNCTION("JOIN("", "",ARRAYFORMULA(IFERROR(VLOOKUP(VALUE(TRIM(SPLIT(D4,"",""))), QUERY(goles!A:C,""select A, sum(C) where B='""&amp;A4&amp;""' group by A""),2,FALSE),0)))"),"0")</f>
        <v>0</v>
      </c>
      <c r="G4" s="5" t="s">
        <v>41</v>
      </c>
      <c r="H4" s="5" t="s">
        <v>25</v>
      </c>
      <c r="I4" s="7">
        <v>18167.0</v>
      </c>
      <c r="J4" s="6" t="s">
        <v>42</v>
      </c>
      <c r="K4" s="5" t="s">
        <v>35</v>
      </c>
      <c r="L4" s="5" t="s">
        <v>35</v>
      </c>
      <c r="M4" s="5" t="s">
        <v>25</v>
      </c>
      <c r="N4" s="9" t="s">
        <v>36</v>
      </c>
      <c r="O4" s="9" t="s">
        <v>37</v>
      </c>
      <c r="P4" s="10">
        <v>-34.89453803</v>
      </c>
      <c r="Q4" s="10">
        <v>-56.15278107</v>
      </c>
      <c r="R4" s="14" t="s">
        <v>43</v>
      </c>
      <c r="S4" s="11" t="s">
        <v>44</v>
      </c>
      <c r="T4" s="12"/>
      <c r="U4" s="12"/>
    </row>
    <row r="5">
      <c r="A5" s="5" t="s">
        <v>45</v>
      </c>
      <c r="B5" s="5" t="s">
        <v>46</v>
      </c>
      <c r="C5" s="6">
        <v>1.0</v>
      </c>
      <c r="D5" s="6">
        <v>1970.0</v>
      </c>
      <c r="E5" s="5" t="str">
        <f>IFERROR(__xludf.DUMMYFUNCTION("TEXTJOIN("", "",TRUE,ARRAYFORMULA(IF(COUNTIFS(capitanes!A:A,SPLIT(D5,"",""),capitanes!B:B,A5)&gt;0,1,0)))"),"0")</f>
        <v>0</v>
      </c>
      <c r="F5" s="5" t="str">
        <f>IFERROR(__xludf.DUMMYFUNCTION("JOIN("", "",ARRAYFORMULA(IFERROR(VLOOKUP(VALUE(TRIM(SPLIT(D5,"",""))), QUERY(goles!A:C,""select A, sum(C) where B='""&amp;A5&amp;""' group by A""),2,FALSE),0)))"),"0")</f>
        <v>0</v>
      </c>
      <c r="G5" s="5" t="s">
        <v>47</v>
      </c>
      <c r="H5" s="5" t="s">
        <v>25</v>
      </c>
      <c r="I5" s="7">
        <v>16233.0</v>
      </c>
      <c r="J5" s="8">
        <v>16351.0</v>
      </c>
      <c r="K5" s="5" t="s">
        <v>48</v>
      </c>
      <c r="L5" s="5" t="s">
        <v>48</v>
      </c>
      <c r="M5" s="5" t="s">
        <v>25</v>
      </c>
      <c r="N5" s="9" t="s">
        <v>49</v>
      </c>
      <c r="O5" s="9" t="s">
        <v>50</v>
      </c>
      <c r="P5" s="10">
        <v>-32.32100867</v>
      </c>
      <c r="Q5" s="10">
        <v>-58.08768999</v>
      </c>
      <c r="R5" s="5" t="s">
        <v>51</v>
      </c>
      <c r="S5" s="14" t="s">
        <v>52</v>
      </c>
      <c r="T5" s="12"/>
      <c r="U5" s="12"/>
    </row>
    <row r="6">
      <c r="A6" s="5" t="s">
        <v>53</v>
      </c>
      <c r="B6" s="5" t="s">
        <v>20</v>
      </c>
      <c r="C6" s="6">
        <v>1.0</v>
      </c>
      <c r="D6" s="6">
        <v>1950.0</v>
      </c>
      <c r="E6" s="5" t="str">
        <f>IFERROR(__xludf.DUMMYFUNCTION("TEXTJOIN("", "",TRUE,ARRAYFORMULA(IF(COUNTIFS(capitanes!A:A,SPLIT(D6,"",""),capitanes!B:B,A6)&gt;0,1,0)))"),"0")</f>
        <v>0</v>
      </c>
      <c r="F6" s="5" t="str">
        <f>IFERROR(__xludf.DUMMYFUNCTION("JOIN("", "",ARRAYFORMULA(IFERROR(VLOOKUP(VALUE(TRIM(SPLIT(D6,"",""))), QUERY(goles!A:C,""select A, sum(C) where B='""&amp;A6&amp;""' group by A""),2,FALSE),0)))"),"4")</f>
        <v>4</v>
      </c>
      <c r="G6" s="5" t="s">
        <v>54</v>
      </c>
      <c r="H6" s="5" t="s">
        <v>25</v>
      </c>
      <c r="I6" s="7">
        <v>9853.0</v>
      </c>
      <c r="J6" s="6" t="s">
        <v>55</v>
      </c>
      <c r="K6" s="5" t="s">
        <v>35</v>
      </c>
      <c r="L6" s="5" t="s">
        <v>35</v>
      </c>
      <c r="M6" s="5" t="s">
        <v>25</v>
      </c>
      <c r="N6" s="9" t="s">
        <v>36</v>
      </c>
      <c r="O6" s="9" t="s">
        <v>37</v>
      </c>
      <c r="P6" s="10">
        <v>-34.89453803</v>
      </c>
      <c r="Q6" s="10">
        <v>-56.15278107</v>
      </c>
      <c r="R6" s="14" t="s">
        <v>56</v>
      </c>
      <c r="S6" s="14" t="s">
        <v>57</v>
      </c>
      <c r="T6" s="12"/>
      <c r="U6" s="12"/>
    </row>
    <row r="7">
      <c r="A7" s="5" t="s">
        <v>58</v>
      </c>
      <c r="B7" s="5" t="s">
        <v>46</v>
      </c>
      <c r="C7" s="6">
        <v>1.0</v>
      </c>
      <c r="D7" s="6">
        <v>2002.0</v>
      </c>
      <c r="E7" s="5" t="str">
        <f>IFERROR(__xludf.DUMMYFUNCTION("TEXTJOIN("", "",TRUE,ARRAYFORMULA(IF(COUNTIFS(capitanes!A:A,SPLIT(D7,"",""),capitanes!B:B,A7)&gt;0,1,0)))"),"0")</f>
        <v>0</v>
      </c>
      <c r="F7" s="5" t="str">
        <f>IFERROR(__xludf.DUMMYFUNCTION("JOIN("", "",ARRAYFORMULA(IFERROR(VLOOKUP(VALUE(TRIM(SPLIT(D7,"",""))), QUERY(goles!A:C,""select A, sum(C) where B='""&amp;A7&amp;""' group by A""),2,FALSE),0)))"),"0")</f>
        <v>0</v>
      </c>
      <c r="G7" s="5" t="s">
        <v>59</v>
      </c>
      <c r="H7" s="5" t="s">
        <v>25</v>
      </c>
      <c r="I7" s="7">
        <v>28536.0</v>
      </c>
      <c r="J7" s="6" t="s">
        <v>60</v>
      </c>
      <c r="K7" s="5" t="s">
        <v>35</v>
      </c>
      <c r="L7" s="5" t="s">
        <v>35</v>
      </c>
      <c r="M7" s="5" t="s">
        <v>25</v>
      </c>
      <c r="N7" s="9" t="s">
        <v>36</v>
      </c>
      <c r="O7" s="9" t="s">
        <v>37</v>
      </c>
      <c r="P7" s="10">
        <v>-34.89453803</v>
      </c>
      <c r="Q7" s="10">
        <v>-56.15278107</v>
      </c>
      <c r="R7" s="14" t="s">
        <v>61</v>
      </c>
      <c r="S7" s="14" t="s">
        <v>62</v>
      </c>
      <c r="T7" s="12"/>
      <c r="U7" s="12"/>
    </row>
    <row r="8">
      <c r="A8" s="5" t="s">
        <v>63</v>
      </c>
      <c r="B8" s="5" t="s">
        <v>46</v>
      </c>
      <c r="C8" s="6">
        <v>1.0</v>
      </c>
      <c r="D8" s="6">
        <v>1990.0</v>
      </c>
      <c r="E8" s="5" t="str">
        <f>IFERROR(__xludf.DUMMYFUNCTION("TEXTJOIN("", "",TRUE,ARRAYFORMULA(IF(COUNTIFS(capitanes!A:A,SPLIT(D8,"",""),capitanes!B:B,A8)&gt;0,1,0)))"),"0")</f>
        <v>0</v>
      </c>
      <c r="F8" s="5" t="str">
        <f>IFERROR(__xludf.DUMMYFUNCTION("JOIN("", "",ARRAYFORMULA(IFERROR(VLOOKUP(VALUE(TRIM(SPLIT(D8,"",""))), QUERY(goles!A:C,""select A, sum(C) where B='""&amp;A8&amp;""' group by A""),2,FALSE),0)))"),"0")</f>
        <v>0</v>
      </c>
      <c r="G8" s="5" t="s">
        <v>54</v>
      </c>
      <c r="H8" s="5" t="s">
        <v>25</v>
      </c>
      <c r="I8" s="7">
        <v>24009.0</v>
      </c>
      <c r="J8" s="6" t="s">
        <v>64</v>
      </c>
      <c r="K8" s="5" t="s">
        <v>65</v>
      </c>
      <c r="L8" s="5" t="s">
        <v>65</v>
      </c>
      <c r="M8" s="5" t="s">
        <v>25</v>
      </c>
      <c r="N8" s="9" t="s">
        <v>66</v>
      </c>
      <c r="O8" s="9" t="s">
        <v>67</v>
      </c>
      <c r="P8" s="10">
        <v>-33.37300132</v>
      </c>
      <c r="Q8" s="10">
        <v>-56.51934411</v>
      </c>
      <c r="R8" s="5" t="s">
        <v>68</v>
      </c>
      <c r="S8" s="14" t="s">
        <v>69</v>
      </c>
      <c r="T8" s="12"/>
      <c r="U8" s="12"/>
    </row>
    <row r="9">
      <c r="A9" s="5" t="s">
        <v>70</v>
      </c>
      <c r="B9" s="5" t="s">
        <v>31</v>
      </c>
      <c r="C9" s="6">
        <v>1.0</v>
      </c>
      <c r="D9" s="5">
        <v>2010.0</v>
      </c>
      <c r="E9" s="5" t="str">
        <f>IFERROR(__xludf.DUMMYFUNCTION("TEXTJOIN("", "",TRUE,ARRAYFORMULA(IF(COUNTIFS(capitanes!A:A,SPLIT(D9,"",""),capitanes!B:B,A9)&gt;0,1,0)))"),"0")</f>
        <v>0</v>
      </c>
      <c r="F9" s="5" t="str">
        <f>IFERROR(__xludf.DUMMYFUNCTION("JOIN("", "",ARRAYFORMULA(IFERROR(VLOOKUP(VALUE(TRIM(SPLIT(D9,"",""))), QUERY(goles!A:C,""select A, sum(C) where B='""&amp;A9&amp;""' group by A""),2,FALSE),0)))"),"0")</f>
        <v>0</v>
      </c>
      <c r="G9" s="5" t="s">
        <v>71</v>
      </c>
      <c r="H9" s="5" t="s">
        <v>72</v>
      </c>
      <c r="I9" s="7">
        <v>31331.0</v>
      </c>
      <c r="J9" s="8">
        <v>31361.0</v>
      </c>
      <c r="K9" s="5" t="s">
        <v>73</v>
      </c>
      <c r="L9" s="5" t="s">
        <v>74</v>
      </c>
      <c r="M9" s="5" t="s">
        <v>25</v>
      </c>
      <c r="N9" s="9" t="s">
        <v>75</v>
      </c>
      <c r="O9" s="9" t="s">
        <v>76</v>
      </c>
      <c r="P9" s="10">
        <v>-33.80896245</v>
      </c>
      <c r="Q9" s="10">
        <v>-58.26958767</v>
      </c>
      <c r="R9" s="5" t="s">
        <v>77</v>
      </c>
      <c r="S9" s="14" t="s">
        <v>78</v>
      </c>
      <c r="T9" s="12"/>
      <c r="U9" s="12"/>
    </row>
    <row r="10">
      <c r="A10" s="5" t="s">
        <v>79</v>
      </c>
      <c r="B10" s="5" t="s">
        <v>31</v>
      </c>
      <c r="C10" s="6">
        <v>1.0</v>
      </c>
      <c r="D10" s="6">
        <v>1930.0</v>
      </c>
      <c r="E10" s="5" t="str">
        <f>IFERROR(__xludf.DUMMYFUNCTION("TEXTJOIN("", "",TRUE,ARRAYFORMULA(IF(COUNTIFS(capitanes!A:A,SPLIT(D10,"",""),capitanes!B:B,A10)&gt;0,1,0)))"),"0")</f>
        <v>0</v>
      </c>
      <c r="F10" s="5" t="str">
        <f>IFERROR(__xludf.DUMMYFUNCTION("JOIN("", "",ARRAYFORMULA(IFERROR(VLOOKUP(VALUE(TRIM(SPLIT(D10,"",""))), QUERY(goles!A:C,""select A, sum(C) where B='""&amp;A10&amp;""' group by A""),2,FALSE),0)))"),"0")</f>
        <v>0</v>
      </c>
      <c r="G10" s="5" t="s">
        <v>54</v>
      </c>
      <c r="H10" s="5" t="s">
        <v>25</v>
      </c>
      <c r="I10" s="7">
        <v>2694.0</v>
      </c>
      <c r="J10" s="6" t="s">
        <v>80</v>
      </c>
      <c r="K10" s="5" t="s">
        <v>35</v>
      </c>
      <c r="L10" s="5" t="s">
        <v>35</v>
      </c>
      <c r="M10" s="5" t="s">
        <v>25</v>
      </c>
      <c r="N10" s="9" t="s">
        <v>36</v>
      </c>
      <c r="O10" s="9" t="s">
        <v>37</v>
      </c>
      <c r="P10" s="10">
        <v>-34.89453803</v>
      </c>
      <c r="Q10" s="10">
        <v>-56.15278107</v>
      </c>
      <c r="R10" s="5" t="s">
        <v>81</v>
      </c>
      <c r="S10" s="14" t="s">
        <v>82</v>
      </c>
      <c r="T10" s="12"/>
      <c r="U10" s="12"/>
    </row>
    <row r="11">
      <c r="A11" s="5" t="s">
        <v>83</v>
      </c>
      <c r="B11" s="5" t="s">
        <v>31</v>
      </c>
      <c r="C11" s="6">
        <v>1.0</v>
      </c>
      <c r="D11" s="6">
        <v>2014.0</v>
      </c>
      <c r="E11" s="5" t="str">
        <f>IFERROR(__xludf.DUMMYFUNCTION("TEXTJOIN("", "",TRUE,ARRAYFORMULA(IF(COUNTIFS(capitanes!A:A,SPLIT(D11,"",""),capitanes!B:B,A11)&gt;0,1,0)))"),"0")</f>
        <v>0</v>
      </c>
      <c r="F11" s="5" t="str">
        <f>IFERROR(__xludf.DUMMYFUNCTION("JOIN("", "",ARRAYFORMULA(IFERROR(VLOOKUP(VALUE(TRIM(SPLIT(D11,"",""))), QUERY(goles!A:C,""select A, sum(C) where B='""&amp;A11&amp;""' group by A""),2,FALSE),0)))"),"0")</f>
        <v>0</v>
      </c>
      <c r="G11" s="5" t="s">
        <v>84</v>
      </c>
      <c r="H11" s="5" t="s">
        <v>22</v>
      </c>
      <c r="I11" s="7">
        <v>30984.0</v>
      </c>
      <c r="J11" s="6" t="s">
        <v>85</v>
      </c>
      <c r="K11" s="5" t="s">
        <v>35</v>
      </c>
      <c r="L11" s="5" t="s">
        <v>35</v>
      </c>
      <c r="M11" s="5" t="s">
        <v>25</v>
      </c>
      <c r="N11" s="9" t="s">
        <v>36</v>
      </c>
      <c r="O11" s="9" t="s">
        <v>37</v>
      </c>
      <c r="P11" s="10">
        <v>-34.89453803</v>
      </c>
      <c r="Q11" s="10">
        <v>-56.15278107</v>
      </c>
      <c r="R11" s="5" t="s">
        <v>86</v>
      </c>
      <c r="S11" s="14" t="s">
        <v>87</v>
      </c>
      <c r="T11" s="12"/>
      <c r="U11" s="12"/>
    </row>
    <row r="12">
      <c r="A12" s="5" t="s">
        <v>88</v>
      </c>
      <c r="B12" s="5" t="s">
        <v>31</v>
      </c>
      <c r="C12" s="6">
        <v>2.0</v>
      </c>
      <c r="D12" s="5" t="s">
        <v>89</v>
      </c>
      <c r="E12" s="5" t="str">
        <f>IFERROR(__xludf.DUMMYFUNCTION("TEXTJOIN("", "",TRUE,ARRAYFORMULA(IF(COUNTIFS(capitanes!A:A,SPLIT(D12,"",""),capitanes!B:B,A12)&gt;0,1,0)))"),"0, 0")</f>
        <v>0, 0</v>
      </c>
      <c r="F12" s="5" t="str">
        <f>IFERROR(__xludf.DUMMYFUNCTION("JOIN("", "",ARRAYFORMULA(IFERROR(VLOOKUP(VALUE(TRIM(SPLIT(D12,"",""))), QUERY(goles!A:C,""select A, sum(C) where B='""&amp;A12&amp;""' group by A""),2,FALSE),0)))"),"1, 0")</f>
        <v>1, 0</v>
      </c>
      <c r="G12" s="5" t="s">
        <v>90</v>
      </c>
      <c r="H12" s="5" t="s">
        <v>91</v>
      </c>
      <c r="I12" s="7">
        <v>31379.0</v>
      </c>
      <c r="J12" s="6" t="s">
        <v>92</v>
      </c>
      <c r="K12" s="5" t="s">
        <v>35</v>
      </c>
      <c r="L12" s="5" t="s">
        <v>35</v>
      </c>
      <c r="M12" s="5" t="s">
        <v>25</v>
      </c>
      <c r="N12" s="9" t="s">
        <v>36</v>
      </c>
      <c r="O12" s="9" t="s">
        <v>37</v>
      </c>
      <c r="P12" s="10">
        <v>-34.89453803</v>
      </c>
      <c r="Q12" s="10">
        <v>-56.15278107</v>
      </c>
      <c r="R12" s="5" t="s">
        <v>93</v>
      </c>
      <c r="S12" s="14" t="s">
        <v>94</v>
      </c>
      <c r="T12" s="12"/>
      <c r="U12" s="12"/>
    </row>
    <row r="13">
      <c r="A13" s="5" t="s">
        <v>95</v>
      </c>
      <c r="B13" s="5" t="s">
        <v>20</v>
      </c>
      <c r="C13" s="6">
        <v>1.0</v>
      </c>
      <c r="D13" s="6">
        <v>2002.0</v>
      </c>
      <c r="E13" s="5" t="str">
        <f>IFERROR(__xludf.DUMMYFUNCTION("TEXTJOIN("", "",TRUE,ARRAYFORMULA(IF(COUNTIFS(capitanes!A:A,SPLIT(D13,"",""),capitanes!B:B,A13)&gt;0,1,0)))"),"0")</f>
        <v>0</v>
      </c>
      <c r="F13" s="5" t="str">
        <f>IFERROR(__xludf.DUMMYFUNCTION("JOIN("", "",ARRAYFORMULA(IFERROR(VLOOKUP(VALUE(TRIM(SPLIT(D13,"",""))), QUERY(goles!A:C,""select A, sum(C) where B='""&amp;A13&amp;""' group by A""),2,FALSE),0)))"),"1")</f>
        <v>1</v>
      </c>
      <c r="G13" s="5" t="s">
        <v>96</v>
      </c>
      <c r="H13" s="5" t="s">
        <v>97</v>
      </c>
      <c r="I13" s="7">
        <v>27836.0</v>
      </c>
      <c r="J13" s="6" t="s">
        <v>98</v>
      </c>
      <c r="K13" s="5" t="s">
        <v>35</v>
      </c>
      <c r="L13" s="5" t="s">
        <v>35</v>
      </c>
      <c r="M13" s="5" t="s">
        <v>25</v>
      </c>
      <c r="N13" s="9" t="s">
        <v>36</v>
      </c>
      <c r="O13" s="9" t="s">
        <v>37</v>
      </c>
      <c r="P13" s="10">
        <v>-34.89453803</v>
      </c>
      <c r="Q13" s="10">
        <v>-56.15278107</v>
      </c>
      <c r="R13" s="5" t="s">
        <v>99</v>
      </c>
      <c r="S13" s="14" t="s">
        <v>100</v>
      </c>
      <c r="T13" s="12"/>
      <c r="U13" s="12"/>
    </row>
    <row r="14">
      <c r="A14" s="5" t="s">
        <v>101</v>
      </c>
      <c r="B14" s="5" t="s">
        <v>46</v>
      </c>
      <c r="C14" s="6">
        <v>1.0</v>
      </c>
      <c r="D14" s="5">
        <v>2010.0</v>
      </c>
      <c r="E14" s="5" t="str">
        <f>IFERROR(__xludf.DUMMYFUNCTION("TEXTJOIN("", "",TRUE,ARRAYFORMULA(IF(COUNTIFS(capitanes!A:A,SPLIT(D14,"",""),capitanes!B:B,A14)&gt;0,1,0)))"),"0")</f>
        <v>0</v>
      </c>
      <c r="F14" s="5" t="str">
        <f>IFERROR(__xludf.DUMMYFUNCTION("JOIN("", "",ARRAYFORMULA(IFERROR(VLOOKUP(VALUE(TRIM(SPLIT(D14,"",""))), QUERY(goles!A:C,""select A, sum(C) where B='""&amp;A14&amp;""' group by A""),2,FALSE),0)))"),"0")</f>
        <v>0</v>
      </c>
      <c r="G14" s="5" t="s">
        <v>102</v>
      </c>
      <c r="H14" s="5" t="s">
        <v>72</v>
      </c>
      <c r="I14" s="7">
        <v>27742.0</v>
      </c>
      <c r="J14" s="6" t="s">
        <v>103</v>
      </c>
      <c r="K14" s="5" t="s">
        <v>35</v>
      </c>
      <c r="L14" s="5" t="s">
        <v>35</v>
      </c>
      <c r="M14" s="5" t="s">
        <v>25</v>
      </c>
      <c r="N14" s="9" t="s">
        <v>36</v>
      </c>
      <c r="O14" s="9" t="s">
        <v>37</v>
      </c>
      <c r="P14" s="10">
        <v>-34.89453803</v>
      </c>
      <c r="Q14" s="10">
        <v>-56.15278107</v>
      </c>
      <c r="R14" s="5" t="s">
        <v>104</v>
      </c>
      <c r="S14" s="14" t="s">
        <v>105</v>
      </c>
      <c r="T14" s="12"/>
      <c r="U14" s="12"/>
    </row>
    <row r="15">
      <c r="A15" s="5" t="s">
        <v>106</v>
      </c>
      <c r="B15" s="5" t="s">
        <v>20</v>
      </c>
      <c r="C15" s="6">
        <v>1.0</v>
      </c>
      <c r="D15" s="6">
        <v>1962.0</v>
      </c>
      <c r="E15" s="5" t="str">
        <f>IFERROR(__xludf.DUMMYFUNCTION("TEXTJOIN("", "",TRUE,ARRAYFORMULA(IF(COUNTIFS(capitanes!A:A,SPLIT(D15,"",""),capitanes!B:B,A15)&gt;0,1,0)))"),"0")</f>
        <v>0</v>
      </c>
      <c r="F15" s="5" t="str">
        <f>IFERROR(__xludf.DUMMYFUNCTION("JOIN("", "",ARRAYFORMULA(IFERROR(VLOOKUP(VALUE(TRIM(SPLIT(D15,"",""))), QUERY(goles!A:C,""select A, sum(C) where B='""&amp;A15&amp;""' group by A""),2,FALSE),0)))"),"0")</f>
        <v>0</v>
      </c>
      <c r="G15" s="5" t="s">
        <v>54</v>
      </c>
      <c r="H15" s="5" t="s">
        <v>25</v>
      </c>
      <c r="I15" s="7">
        <v>14527.0</v>
      </c>
      <c r="J15" s="8">
        <v>14498.0</v>
      </c>
      <c r="K15" s="5" t="s">
        <v>107</v>
      </c>
      <c r="L15" s="5" t="s">
        <v>108</v>
      </c>
      <c r="M15" s="5" t="s">
        <v>25</v>
      </c>
      <c r="N15" s="9" t="s">
        <v>109</v>
      </c>
      <c r="O15" s="9" t="s">
        <v>110</v>
      </c>
      <c r="P15" s="10">
        <v>-33.25788253</v>
      </c>
      <c r="Q15" s="10">
        <v>-58.02286996</v>
      </c>
      <c r="R15" s="5" t="s">
        <v>111</v>
      </c>
      <c r="S15" s="15" t="s">
        <v>112</v>
      </c>
      <c r="T15" s="12"/>
      <c r="U15" s="12"/>
    </row>
    <row r="16">
      <c r="A16" s="5" t="s">
        <v>113</v>
      </c>
      <c r="B16" s="5" t="s">
        <v>31</v>
      </c>
      <c r="C16" s="6">
        <v>1.0</v>
      </c>
      <c r="D16" s="6">
        <v>1930.0</v>
      </c>
      <c r="E16" s="5" t="str">
        <f>IFERROR(__xludf.DUMMYFUNCTION("TEXTJOIN("", "",TRUE,ARRAYFORMULA(IF(COUNTIFS(capitanes!A:A,SPLIT(D16,"",""),capitanes!B:B,A16)&gt;0,1,0)))"),"0")</f>
        <v>0</v>
      </c>
      <c r="F16" s="5" t="str">
        <f>IFERROR(__xludf.DUMMYFUNCTION("JOIN("", "",ARRAYFORMULA(IFERROR(VLOOKUP(VALUE(TRIM(SPLIT(D16,"",""))), QUERY(goles!A:C,""select A, sum(C) where B='""&amp;A16&amp;""' group by A""),2,FALSE),0)))"),"0")</f>
        <v>0</v>
      </c>
      <c r="G16" s="5" t="s">
        <v>54</v>
      </c>
      <c r="H16" s="5" t="s">
        <v>25</v>
      </c>
      <c r="I16" s="7">
        <v>2136.0</v>
      </c>
      <c r="J16" s="8">
        <v>1958.0</v>
      </c>
      <c r="K16" s="5" t="s">
        <v>35</v>
      </c>
      <c r="L16" s="5" t="s">
        <v>35</v>
      </c>
      <c r="M16" s="5" t="s">
        <v>25</v>
      </c>
      <c r="N16" s="9" t="s">
        <v>36</v>
      </c>
      <c r="O16" s="9" t="s">
        <v>37</v>
      </c>
      <c r="P16" s="10">
        <v>-34.89453803</v>
      </c>
      <c r="Q16" s="10">
        <v>-56.15278107</v>
      </c>
      <c r="R16" s="14" t="s">
        <v>114</v>
      </c>
      <c r="S16" s="14" t="s">
        <v>115</v>
      </c>
      <c r="T16" s="12"/>
      <c r="U16" s="12"/>
    </row>
    <row r="17">
      <c r="A17" s="5" t="s">
        <v>116</v>
      </c>
      <c r="B17" s="5" t="s">
        <v>117</v>
      </c>
      <c r="C17" s="6">
        <v>1.0</v>
      </c>
      <c r="D17" s="6">
        <v>1950.0</v>
      </c>
      <c r="E17" s="5" t="str">
        <f>IFERROR(__xludf.DUMMYFUNCTION("TEXTJOIN("", "",TRUE,ARRAYFORMULA(IF(COUNTIFS(capitanes!A:A,SPLIT(D17,"",""),capitanes!B:B,A17)&gt;0,1,0)))"),"0")</f>
        <v>0</v>
      </c>
      <c r="F17" s="5" t="str">
        <f>IFERROR(__xludf.DUMMYFUNCTION("JOIN("", "",ARRAYFORMULA(IFERROR(VLOOKUP(VALUE(TRIM(SPLIT(D17,"",""))), QUERY(goles!A:C,""select A, sum(C) where B='""&amp;A17&amp;""' group by A""),2,FALSE),0)))"),"0")</f>
        <v>0</v>
      </c>
      <c r="G17" s="5" t="s">
        <v>59</v>
      </c>
      <c r="H17" s="5" t="s">
        <v>25</v>
      </c>
      <c r="I17" s="7">
        <v>6351.0</v>
      </c>
      <c r="J17" s="6" t="s">
        <v>118</v>
      </c>
      <c r="K17" s="5" t="s">
        <v>35</v>
      </c>
      <c r="L17" s="5" t="s">
        <v>35</v>
      </c>
      <c r="M17" s="5" t="s">
        <v>25</v>
      </c>
      <c r="N17" s="9" t="s">
        <v>36</v>
      </c>
      <c r="O17" s="9" t="s">
        <v>37</v>
      </c>
      <c r="P17" s="10">
        <v>-34.89453803</v>
      </c>
      <c r="Q17" s="10">
        <v>-56.15278107</v>
      </c>
      <c r="R17" s="5" t="s">
        <v>119</v>
      </c>
      <c r="S17" s="14" t="s">
        <v>120</v>
      </c>
      <c r="T17" s="12"/>
      <c r="U17" s="12"/>
    </row>
    <row r="18">
      <c r="A18" s="5" t="s">
        <v>121</v>
      </c>
      <c r="B18" s="5" t="s">
        <v>20</v>
      </c>
      <c r="C18" s="6">
        <v>2.0</v>
      </c>
      <c r="D18" s="5" t="s">
        <v>122</v>
      </c>
      <c r="E18" s="5" t="str">
        <f>IFERROR(__xludf.DUMMYFUNCTION("TEXTJOIN("", "",TRUE,ARRAYFORMULA(IF(COUNTIFS(capitanes!A:A,SPLIT(D18,"",""),capitanes!B:B,A18)&gt;0,1,0)))"),"0, 0")</f>
        <v>0, 0</v>
      </c>
      <c r="F18" s="5" t="str">
        <f>IFERROR(__xludf.DUMMYFUNCTION("JOIN("", "",ARRAYFORMULA(IFERROR(VLOOKUP(VALUE(TRIM(SPLIT(D18,"",""))), QUERY(goles!A:C,""select A, sum(C) where B='""&amp;A18&amp;""' group by A""),2,FALSE),0)))"),"1, 0")</f>
        <v>1, 0</v>
      </c>
      <c r="G18" s="5" t="s">
        <v>123</v>
      </c>
      <c r="H18" s="5" t="s">
        <v>124</v>
      </c>
      <c r="I18" s="7">
        <v>20613.0</v>
      </c>
      <c r="J18" s="8">
        <v>20642.0</v>
      </c>
      <c r="K18" s="5" t="s">
        <v>65</v>
      </c>
      <c r="L18" s="5" t="s">
        <v>65</v>
      </c>
      <c r="M18" s="5" t="s">
        <v>25</v>
      </c>
      <c r="N18" s="9" t="s">
        <v>66</v>
      </c>
      <c r="O18" s="9" t="s">
        <v>67</v>
      </c>
      <c r="P18" s="10">
        <v>-33.37300132</v>
      </c>
      <c r="Q18" s="10">
        <v>-56.51934411</v>
      </c>
      <c r="R18" s="14" t="s">
        <v>125</v>
      </c>
      <c r="S18" s="14" t="s">
        <v>126</v>
      </c>
      <c r="T18" s="12"/>
      <c r="U18" s="12"/>
    </row>
    <row r="19">
      <c r="A19" s="5" t="s">
        <v>127</v>
      </c>
      <c r="B19" s="5" t="s">
        <v>46</v>
      </c>
      <c r="C19" s="6">
        <v>1.0</v>
      </c>
      <c r="D19" s="6">
        <v>1970.0</v>
      </c>
      <c r="E19" s="5" t="str">
        <f>IFERROR(__xludf.DUMMYFUNCTION("TEXTJOIN("", "",TRUE,ARRAYFORMULA(IF(COUNTIFS(capitanes!A:A,SPLIT(D19,"",""),capitanes!B:B,A19)&gt;0,1,0)))"),"0")</f>
        <v>0</v>
      </c>
      <c r="F19" s="5" t="str">
        <f>IFERROR(__xludf.DUMMYFUNCTION("JOIN("", "",ARRAYFORMULA(IFERROR(VLOOKUP(VALUE(TRIM(SPLIT(D19,"",""))), QUERY(goles!A:C,""select A, sum(C) where B='""&amp;A19&amp;""' group by A""),2,FALSE),0)))"),"0")</f>
        <v>0</v>
      </c>
      <c r="G19" s="5" t="s">
        <v>59</v>
      </c>
      <c r="H19" s="5" t="s">
        <v>25</v>
      </c>
      <c r="I19" s="7">
        <v>17733.0</v>
      </c>
      <c r="J19" s="6" t="s">
        <v>128</v>
      </c>
      <c r="K19" s="5" t="s">
        <v>129</v>
      </c>
      <c r="L19" s="5" t="s">
        <v>129</v>
      </c>
      <c r="M19" s="5" t="s">
        <v>25</v>
      </c>
      <c r="N19" s="9" t="s">
        <v>130</v>
      </c>
      <c r="O19" s="9" t="s">
        <v>131</v>
      </c>
      <c r="P19" s="10">
        <v>-34.10461508</v>
      </c>
      <c r="Q19" s="10">
        <v>-56.20767326</v>
      </c>
      <c r="R19" s="14" t="s">
        <v>132</v>
      </c>
      <c r="S19" s="13" t="s">
        <v>133</v>
      </c>
      <c r="T19" s="12"/>
      <c r="U19" s="12"/>
    </row>
    <row r="20">
      <c r="A20" s="5" t="s">
        <v>134</v>
      </c>
      <c r="B20" s="5" t="s">
        <v>46</v>
      </c>
      <c r="C20" s="6">
        <v>1.0</v>
      </c>
      <c r="D20" s="6">
        <v>1974.0</v>
      </c>
      <c r="E20" s="5" t="str">
        <f>IFERROR(__xludf.DUMMYFUNCTION("TEXTJOIN("", "",TRUE,ARRAYFORMULA(IF(COUNTIFS(capitanes!A:A,SPLIT(D20,"",""),capitanes!B:B,A20)&gt;0,1,0)))"),"0")</f>
        <v>0</v>
      </c>
      <c r="F20" s="5" t="str">
        <f>IFERROR(__xludf.DUMMYFUNCTION("JOIN("", "",ARRAYFORMULA(IFERROR(VLOOKUP(VALUE(TRIM(SPLIT(D20,"",""))), QUERY(goles!A:C,""select A, sum(C) where B='""&amp;A20&amp;""' group by A""),2,FALSE),0)))"),"0")</f>
        <v>0</v>
      </c>
      <c r="G20" s="5" t="s">
        <v>135</v>
      </c>
      <c r="H20" s="5" t="s">
        <v>136</v>
      </c>
      <c r="I20" s="7">
        <v>16627.0</v>
      </c>
      <c r="J20" s="8">
        <v>16687.0</v>
      </c>
      <c r="K20" s="5" t="s">
        <v>35</v>
      </c>
      <c r="L20" s="5" t="s">
        <v>35</v>
      </c>
      <c r="M20" s="5" t="s">
        <v>25</v>
      </c>
      <c r="N20" s="9" t="s">
        <v>36</v>
      </c>
      <c r="O20" s="9" t="s">
        <v>37</v>
      </c>
      <c r="P20" s="10">
        <v>-34.89453803</v>
      </c>
      <c r="Q20" s="10">
        <v>-56.15278107</v>
      </c>
      <c r="R20" s="5" t="s">
        <v>137</v>
      </c>
      <c r="S20" s="14" t="s">
        <v>138</v>
      </c>
      <c r="T20" s="12"/>
      <c r="U20" s="12"/>
    </row>
    <row r="21">
      <c r="A21" s="16" t="s">
        <v>139</v>
      </c>
      <c r="B21" s="16" t="s">
        <v>20</v>
      </c>
      <c r="C21" s="16">
        <v>1.0</v>
      </c>
      <c r="D21" s="16">
        <v>2026.0</v>
      </c>
      <c r="E21" s="5" t="str">
        <f>IFERROR(__xludf.DUMMYFUNCTION("TEXTJOIN("", "",TRUE,ARRAYFORMULA(IF(COUNTIFS(capitanes!A:A,SPLIT(D21,"",""),capitanes!B:B,A21)&gt;0,1,0)))"),"0")</f>
        <v>0</v>
      </c>
      <c r="F21" s="5" t="str">
        <f>IFERROR(__xludf.DUMMYFUNCTION("JOIN("", "",ARRAYFORMULA(IFERROR(VLOOKUP(VALUE(TRIM(SPLIT(D21,"",""))), QUERY(goles!A:C,""select A, sum(C) where B='""&amp;A21&amp;""' group by A""),2,FALSE),0)))"),"0")</f>
        <v>0</v>
      </c>
      <c r="G21" s="16" t="s">
        <v>140</v>
      </c>
      <c r="H21" s="16" t="s">
        <v>141</v>
      </c>
      <c r="I21" s="17">
        <v>36666.0</v>
      </c>
      <c r="J21" s="16" t="s">
        <v>142</v>
      </c>
      <c r="K21" s="16" t="s">
        <v>143</v>
      </c>
      <c r="L21" s="16" t="s">
        <v>144</v>
      </c>
      <c r="M21" s="16" t="s">
        <v>25</v>
      </c>
      <c r="N21" s="18" t="s">
        <v>145</v>
      </c>
      <c r="O21" s="18" t="s">
        <v>146</v>
      </c>
      <c r="P21" s="10">
        <v>-31.19043391</v>
      </c>
      <c r="Q21" s="10">
        <v>-55.76720241</v>
      </c>
      <c r="R21" s="19" t="s">
        <v>147</v>
      </c>
      <c r="S21" s="19" t="s">
        <v>148</v>
      </c>
      <c r="T21" s="12"/>
      <c r="U21" s="12"/>
    </row>
    <row r="22">
      <c r="A22" s="5" t="s">
        <v>149</v>
      </c>
      <c r="B22" s="5" t="s">
        <v>20</v>
      </c>
      <c r="C22" s="6">
        <v>2.0</v>
      </c>
      <c r="D22" s="5" t="s">
        <v>122</v>
      </c>
      <c r="E22" s="5" t="str">
        <f>IFERROR(__xludf.DUMMYFUNCTION("TEXTJOIN("", "",TRUE,ARRAYFORMULA(IF(COUNTIFS(capitanes!A:A,SPLIT(D22,"",""),capitanes!B:B,A22)&gt;0,1,0)))"),"0, 0")</f>
        <v>0, 0</v>
      </c>
      <c r="F22" s="5" t="str">
        <f>IFERROR(__xludf.DUMMYFUNCTION("JOIN("", "",ARRAYFORMULA(IFERROR(VLOOKUP(VALUE(TRIM(SPLIT(D22,"",""))), QUERY(goles!A:C,""select A, sum(C) where B='""&amp;A22&amp;""' group by A""),2,FALSE),0)))"),"0, 0")</f>
        <v>0, 0</v>
      </c>
      <c r="G22" s="5" t="s">
        <v>150</v>
      </c>
      <c r="H22" s="5" t="s">
        <v>151</v>
      </c>
      <c r="I22" s="7">
        <v>23641.0</v>
      </c>
      <c r="J22" s="6" t="s">
        <v>152</v>
      </c>
      <c r="K22" s="5" t="s">
        <v>35</v>
      </c>
      <c r="L22" s="5" t="s">
        <v>35</v>
      </c>
      <c r="M22" s="5" t="s">
        <v>25</v>
      </c>
      <c r="N22" s="9" t="s">
        <v>36</v>
      </c>
      <c r="O22" s="9" t="s">
        <v>37</v>
      </c>
      <c r="P22" s="10">
        <v>-34.89453803</v>
      </c>
      <c r="Q22" s="10">
        <v>-56.15278107</v>
      </c>
      <c r="R22" s="14" t="s">
        <v>153</v>
      </c>
      <c r="S22" s="14" t="s">
        <v>154</v>
      </c>
      <c r="T22" s="12"/>
      <c r="U22" s="12"/>
    </row>
    <row r="23">
      <c r="A23" s="5" t="s">
        <v>155</v>
      </c>
      <c r="B23" s="5" t="s">
        <v>20</v>
      </c>
      <c r="C23" s="6">
        <v>1.0</v>
      </c>
      <c r="D23" s="6">
        <v>1954.0</v>
      </c>
      <c r="E23" s="5" t="str">
        <f>IFERROR(__xludf.DUMMYFUNCTION("TEXTJOIN("", "",TRUE,ARRAYFORMULA(IF(COUNTIFS(capitanes!A:A,SPLIT(D23,"",""),capitanes!B:B,A23)&gt;0,1,0)))"),"0")</f>
        <v>0</v>
      </c>
      <c r="F23" s="5" t="str">
        <f>IFERROR(__xludf.DUMMYFUNCTION("JOIN("", "",ARRAYFORMULA(IFERROR(VLOOKUP(VALUE(TRIM(SPLIT(D23,"",""))), QUERY(goles!A:C,""select A, sum(C) where B='""&amp;A23&amp;""' group by A""),2,FALSE),0)))"),"4")</f>
        <v>4</v>
      </c>
      <c r="G23" s="5" t="s">
        <v>54</v>
      </c>
      <c r="H23" s="5" t="s">
        <v>25</v>
      </c>
      <c r="I23" s="7">
        <v>11702.0</v>
      </c>
      <c r="J23" s="6" t="s">
        <v>156</v>
      </c>
      <c r="K23" s="5" t="s">
        <v>35</v>
      </c>
      <c r="L23" s="5" t="s">
        <v>35</v>
      </c>
      <c r="M23" s="5" t="s">
        <v>25</v>
      </c>
      <c r="N23" s="9" t="s">
        <v>36</v>
      </c>
      <c r="O23" s="9" t="s">
        <v>37</v>
      </c>
      <c r="P23" s="10">
        <v>-34.89453803</v>
      </c>
      <c r="Q23" s="10">
        <v>-56.15278107</v>
      </c>
      <c r="R23" s="14" t="s">
        <v>157</v>
      </c>
      <c r="S23" s="14" t="s">
        <v>158</v>
      </c>
      <c r="T23" s="12"/>
      <c r="U23" s="12"/>
    </row>
    <row r="24">
      <c r="A24" s="5" t="s">
        <v>159</v>
      </c>
      <c r="B24" s="5" t="s">
        <v>31</v>
      </c>
      <c r="C24" s="6">
        <v>1.0</v>
      </c>
      <c r="D24" s="6">
        <v>1930.0</v>
      </c>
      <c r="E24" s="5" t="str">
        <f>IFERROR(__xludf.DUMMYFUNCTION("TEXTJOIN("", "",TRUE,ARRAYFORMULA(IF(COUNTIFS(capitanes!A:A,SPLIT(D24,"",""),capitanes!B:B,A24)&gt;0,1,0)))"),"0")</f>
        <v>0</v>
      </c>
      <c r="F24" s="5" t="str">
        <f>IFERROR(__xludf.DUMMYFUNCTION("JOIN("", "",ARRAYFORMULA(IFERROR(VLOOKUP(VALUE(TRIM(SPLIT(D24,"",""))), QUERY(goles!A:C,""select A, sum(C) where B='""&amp;A24&amp;""' group by A""),2,FALSE),0)))"),"0")</f>
        <v>0</v>
      </c>
      <c r="G24" s="5" t="s">
        <v>59</v>
      </c>
      <c r="H24" s="5" t="s">
        <v>25</v>
      </c>
      <c r="I24" s="7">
        <v>1744.0</v>
      </c>
      <c r="J24" s="8">
        <v>1715.0</v>
      </c>
      <c r="K24" s="5" t="s">
        <v>65</v>
      </c>
      <c r="L24" s="5" t="s">
        <v>65</v>
      </c>
      <c r="M24" s="5" t="s">
        <v>25</v>
      </c>
      <c r="N24" s="9" t="s">
        <v>66</v>
      </c>
      <c r="O24" s="9" t="s">
        <v>67</v>
      </c>
      <c r="P24" s="10">
        <v>-33.37300132</v>
      </c>
      <c r="Q24" s="10">
        <v>-56.51934411</v>
      </c>
      <c r="R24" s="5" t="s">
        <v>160</v>
      </c>
      <c r="S24" s="14" t="s">
        <v>161</v>
      </c>
      <c r="T24" s="12"/>
      <c r="U24" s="12"/>
    </row>
    <row r="25">
      <c r="A25" s="5" t="s">
        <v>162</v>
      </c>
      <c r="B25" s="5" t="s">
        <v>31</v>
      </c>
      <c r="C25" s="6">
        <v>1.0</v>
      </c>
      <c r="D25" s="6">
        <v>1950.0</v>
      </c>
      <c r="E25" s="5" t="str">
        <f>IFERROR(__xludf.DUMMYFUNCTION("TEXTJOIN("", "",TRUE,ARRAYFORMULA(IF(COUNTIFS(capitanes!A:A,SPLIT(D25,"",""),capitanes!B:B,A25)&gt;0,1,0)))"),"0")</f>
        <v>0</v>
      </c>
      <c r="F25" s="5" t="str">
        <f>IFERROR(__xludf.DUMMYFUNCTION("JOIN("", "",ARRAYFORMULA(IFERROR(VLOOKUP(VALUE(TRIM(SPLIT(D25,"",""))), QUERY(goles!A:C,""select A, sum(C) where B='""&amp;A25&amp;""' group by A""),2,FALSE),0)))"),"0")</f>
        <v>0</v>
      </c>
      <c r="G25" s="5" t="s">
        <v>41</v>
      </c>
      <c r="H25" s="5" t="s">
        <v>25</v>
      </c>
      <c r="I25" s="7">
        <v>10112.0</v>
      </c>
      <c r="J25" s="8">
        <v>10052.0</v>
      </c>
      <c r="K25" s="5" t="s">
        <v>35</v>
      </c>
      <c r="L25" s="5" t="s">
        <v>35</v>
      </c>
      <c r="M25" s="5" t="s">
        <v>25</v>
      </c>
      <c r="N25" s="9" t="s">
        <v>36</v>
      </c>
      <c r="O25" s="9" t="s">
        <v>37</v>
      </c>
      <c r="P25" s="10">
        <v>-34.89453803</v>
      </c>
      <c r="Q25" s="10">
        <v>-56.15278107</v>
      </c>
      <c r="R25" s="14" t="s">
        <v>163</v>
      </c>
      <c r="S25" s="14" t="s">
        <v>164</v>
      </c>
      <c r="T25" s="12"/>
      <c r="U25" s="12"/>
    </row>
    <row r="26">
      <c r="A26" s="5" t="s">
        <v>165</v>
      </c>
      <c r="B26" s="5" t="s">
        <v>31</v>
      </c>
      <c r="C26" s="6">
        <v>1.0</v>
      </c>
      <c r="D26" s="6">
        <v>2018.0</v>
      </c>
      <c r="E26" s="5" t="str">
        <f>IFERROR(__xludf.DUMMYFUNCTION("TEXTJOIN("", "",TRUE,ARRAYFORMULA(IF(COUNTIFS(capitanes!A:A,SPLIT(D26,"",""),capitanes!B:B,A26)&gt;0,1,0)))"),"0")</f>
        <v>0</v>
      </c>
      <c r="F26" s="5" t="str">
        <f>IFERROR(__xludf.DUMMYFUNCTION("JOIN("", "",ARRAYFORMULA(IFERROR(VLOOKUP(VALUE(TRIM(SPLIT(D26,"",""))), QUERY(goles!A:C,""select A, sum(C) where B='""&amp;A26&amp;""' group by A""),2,FALSE),0)))"),"0")</f>
        <v>0</v>
      </c>
      <c r="G26" s="5" t="s">
        <v>166</v>
      </c>
      <c r="H26" s="5" t="s">
        <v>141</v>
      </c>
      <c r="I26" s="7">
        <v>31018.0</v>
      </c>
      <c r="J26" s="8">
        <v>30724.0</v>
      </c>
      <c r="K26" s="5" t="s">
        <v>35</v>
      </c>
      <c r="L26" s="5" t="s">
        <v>35</v>
      </c>
      <c r="M26" s="5" t="s">
        <v>25</v>
      </c>
      <c r="N26" s="9" t="s">
        <v>36</v>
      </c>
      <c r="O26" s="9" t="s">
        <v>37</v>
      </c>
      <c r="P26" s="10">
        <v>-34.89453803</v>
      </c>
      <c r="Q26" s="10">
        <v>-56.15278107</v>
      </c>
      <c r="R26" s="5" t="s">
        <v>167</v>
      </c>
      <c r="S26" s="11" t="s">
        <v>168</v>
      </c>
      <c r="T26" s="12"/>
      <c r="U26" s="12"/>
    </row>
    <row r="27">
      <c r="A27" s="5" t="s">
        <v>169</v>
      </c>
      <c r="B27" s="5" t="s">
        <v>117</v>
      </c>
      <c r="C27" s="6">
        <v>1.0</v>
      </c>
      <c r="D27" s="6">
        <v>1986.0</v>
      </c>
      <c r="E27" s="5" t="str">
        <f>IFERROR(__xludf.DUMMYFUNCTION("TEXTJOIN("", "",TRUE,ARRAYFORMULA(IF(COUNTIFS(capitanes!A:A,SPLIT(D27,"",""),capitanes!B:B,A27)&gt;0,1,0)))"),"0")</f>
        <v>0</v>
      </c>
      <c r="F27" s="5" t="str">
        <f>IFERROR(__xludf.DUMMYFUNCTION("JOIN("", "",ARRAYFORMULA(IFERROR(VLOOKUP(VALUE(TRIM(SPLIT(D27,"",""))), QUERY(goles!A:C,""select A, sum(C) where B='""&amp;A27&amp;""' group by A""),2,FALSE),0)))"),"0")</f>
        <v>0</v>
      </c>
      <c r="G27" s="5" t="s">
        <v>170</v>
      </c>
      <c r="H27" s="5" t="s">
        <v>25</v>
      </c>
      <c r="I27" s="7">
        <v>21217.0</v>
      </c>
      <c r="J27" s="8">
        <v>21187.0</v>
      </c>
      <c r="K27" s="5" t="s">
        <v>35</v>
      </c>
      <c r="L27" s="5" t="s">
        <v>35</v>
      </c>
      <c r="M27" s="5" t="s">
        <v>25</v>
      </c>
      <c r="N27" s="9" t="s">
        <v>36</v>
      </c>
      <c r="O27" s="9" t="s">
        <v>37</v>
      </c>
      <c r="P27" s="10">
        <v>-34.89453803</v>
      </c>
      <c r="Q27" s="10">
        <v>-56.15278107</v>
      </c>
      <c r="R27" s="11" t="s">
        <v>171</v>
      </c>
      <c r="S27" s="11" t="s">
        <v>172</v>
      </c>
      <c r="T27" s="12"/>
      <c r="U27" s="12"/>
    </row>
    <row r="28">
      <c r="A28" s="5" t="s">
        <v>173</v>
      </c>
      <c r="B28" s="5" t="s">
        <v>46</v>
      </c>
      <c r="C28" s="6">
        <v>1.0</v>
      </c>
      <c r="D28" s="6">
        <v>1986.0</v>
      </c>
      <c r="E28" s="5" t="str">
        <f>IFERROR(__xludf.DUMMYFUNCTION("TEXTJOIN("", "",TRUE,ARRAYFORMULA(IF(COUNTIFS(capitanes!A:A,SPLIT(D28,"",""),capitanes!B:B,A28)&gt;0,1,0)))"),"0")</f>
        <v>0</v>
      </c>
      <c r="F28" s="5" t="str">
        <f>IFERROR(__xludf.DUMMYFUNCTION("JOIN("", "",ARRAYFORMULA(IFERROR(VLOOKUP(VALUE(TRIM(SPLIT(D28,"",""))), QUERY(goles!A:C,""select A, sum(C) where B='""&amp;A28&amp;""' group by A""),2,FALSE),0)))"),"0")</f>
        <v>0</v>
      </c>
      <c r="G28" s="5" t="s">
        <v>41</v>
      </c>
      <c r="H28" s="5" t="s">
        <v>25</v>
      </c>
      <c r="I28" s="7">
        <v>21795.0</v>
      </c>
      <c r="J28" s="8">
        <v>21590.0</v>
      </c>
      <c r="K28" s="5" t="s">
        <v>35</v>
      </c>
      <c r="L28" s="5" t="s">
        <v>35</v>
      </c>
      <c r="M28" s="5" t="s">
        <v>25</v>
      </c>
      <c r="N28" s="9" t="s">
        <v>36</v>
      </c>
      <c r="O28" s="9" t="s">
        <v>37</v>
      </c>
      <c r="P28" s="10">
        <v>-34.89453803</v>
      </c>
      <c r="Q28" s="10">
        <v>-56.15278107</v>
      </c>
      <c r="R28" s="11" t="s">
        <v>174</v>
      </c>
      <c r="S28" s="11" t="s">
        <v>175</v>
      </c>
      <c r="T28" s="12"/>
      <c r="U28" s="12"/>
    </row>
    <row r="29">
      <c r="A29" s="5" t="s">
        <v>176</v>
      </c>
      <c r="B29" s="5" t="s">
        <v>20</v>
      </c>
      <c r="C29" s="6">
        <v>2.0</v>
      </c>
      <c r="D29" s="5" t="s">
        <v>177</v>
      </c>
      <c r="E29" s="5" t="str">
        <f>IFERROR(__xludf.DUMMYFUNCTION("TEXTJOIN("", "",TRUE,ARRAYFORMULA(IF(COUNTIFS(capitanes!A:A,SPLIT(D29,"",""),capitanes!B:B,A29)&gt;0,1,0)))"),"0, 0")</f>
        <v>0, 0</v>
      </c>
      <c r="F29" s="5" t="str">
        <f>IFERROR(__xludf.DUMMYFUNCTION("JOIN("", "",ARRAYFORMULA(IFERROR(VLOOKUP(VALUE(TRIM(SPLIT(D29,"",""))), QUERY(goles!A:C,""select A, sum(C) where B='""&amp;A29&amp;""' group by A""),2,FALSE),0)))"),"0, 0")</f>
        <v>0, 0</v>
      </c>
      <c r="G29" s="5" t="s">
        <v>178</v>
      </c>
      <c r="H29" s="5" t="s">
        <v>179</v>
      </c>
      <c r="I29" s="7">
        <v>31697.0</v>
      </c>
      <c r="J29" s="8">
        <v>31756.0</v>
      </c>
      <c r="K29" s="5" t="s">
        <v>180</v>
      </c>
      <c r="L29" s="5" t="s">
        <v>24</v>
      </c>
      <c r="M29" s="5" t="s">
        <v>25</v>
      </c>
      <c r="N29" s="9" t="s">
        <v>181</v>
      </c>
      <c r="O29" s="9" t="s">
        <v>182</v>
      </c>
      <c r="P29" s="10">
        <v>-34.34433624</v>
      </c>
      <c r="Q29" s="10">
        <v>-55.76172094</v>
      </c>
      <c r="R29" s="14" t="s">
        <v>183</v>
      </c>
      <c r="S29" s="14" t="s">
        <v>184</v>
      </c>
      <c r="T29" s="12"/>
      <c r="U29" s="12"/>
    </row>
    <row r="30">
      <c r="A30" s="5" t="s">
        <v>185</v>
      </c>
      <c r="B30" s="5" t="s">
        <v>31</v>
      </c>
      <c r="C30" s="6">
        <v>1.0</v>
      </c>
      <c r="D30" s="6">
        <v>1930.0</v>
      </c>
      <c r="E30" s="5" t="str">
        <f>IFERROR(__xludf.DUMMYFUNCTION("TEXTJOIN("", "",TRUE,ARRAYFORMULA(IF(COUNTIFS(capitanes!A:A,SPLIT(D30,"",""),capitanes!B:B,A30)&gt;0,1,0)))"),"0")</f>
        <v>0</v>
      </c>
      <c r="F30" s="5" t="str">
        <f>IFERROR(__xludf.DUMMYFUNCTION("JOIN("", "",ARRAYFORMULA(IFERROR(VLOOKUP(VALUE(TRIM(SPLIT(D30,"",""))), QUERY(goles!A:C,""select A, sum(C) where B='""&amp;A30&amp;""' group by A""),2,FALSE),0)))"),"0")</f>
        <v>0</v>
      </c>
      <c r="G30" s="5" t="s">
        <v>59</v>
      </c>
      <c r="H30" s="5" t="s">
        <v>25</v>
      </c>
      <c r="I30" s="7">
        <v>692.0</v>
      </c>
      <c r="J30" s="6" t="s">
        <v>186</v>
      </c>
      <c r="K30" s="5" t="s">
        <v>187</v>
      </c>
      <c r="L30" s="5" t="s">
        <v>187</v>
      </c>
      <c r="M30" s="5" t="s">
        <v>25</v>
      </c>
      <c r="N30" s="9" t="s">
        <v>188</v>
      </c>
      <c r="O30" s="9" t="s">
        <v>189</v>
      </c>
      <c r="P30" s="10">
        <v>-31.38663817</v>
      </c>
      <c r="Q30" s="10">
        <v>-57.93598627</v>
      </c>
      <c r="R30" s="5" t="s">
        <v>190</v>
      </c>
      <c r="S30" s="14" t="s">
        <v>191</v>
      </c>
      <c r="T30" s="12"/>
      <c r="U30" s="12"/>
    </row>
    <row r="31">
      <c r="A31" s="5" t="s">
        <v>192</v>
      </c>
      <c r="B31" s="5" t="s">
        <v>31</v>
      </c>
      <c r="C31" s="6">
        <v>2.0</v>
      </c>
      <c r="D31" s="5" t="s">
        <v>177</v>
      </c>
      <c r="E31" s="5" t="str">
        <f>IFERROR(__xludf.DUMMYFUNCTION("TEXTJOIN("", "",TRUE,ARRAYFORMULA(IF(COUNTIFS(capitanes!A:A,SPLIT(D31,"",""),capitanes!B:B,A31)&gt;0,1,0)))"),"0, 0")</f>
        <v>0, 0</v>
      </c>
      <c r="F31" s="5" t="str">
        <f>IFERROR(__xludf.DUMMYFUNCTION("JOIN("", "",ARRAYFORMULA(IFERROR(VLOOKUP(VALUE(TRIM(SPLIT(D31,"",""))), QUERY(goles!A:C,""select A, sum(C) where B='""&amp;A31&amp;""' group by A""),2,FALSE),0)))"),"0, 0")</f>
        <v>0, 0</v>
      </c>
      <c r="G31" s="5" t="s">
        <v>193</v>
      </c>
      <c r="H31" s="5" t="s">
        <v>194</v>
      </c>
      <c r="I31" s="7">
        <v>31320.0</v>
      </c>
      <c r="J31" s="6" t="s">
        <v>195</v>
      </c>
      <c r="K31" s="5" t="s">
        <v>196</v>
      </c>
      <c r="L31" s="5" t="s">
        <v>74</v>
      </c>
      <c r="M31" s="5" t="s">
        <v>25</v>
      </c>
      <c r="N31" s="9" t="s">
        <v>197</v>
      </c>
      <c r="O31" s="9" t="s">
        <v>198</v>
      </c>
      <c r="P31" s="10">
        <v>-34.43426593</v>
      </c>
      <c r="Q31" s="10">
        <v>-57.4380432</v>
      </c>
      <c r="R31" s="5" t="s">
        <v>199</v>
      </c>
      <c r="S31" s="13" t="s">
        <v>200</v>
      </c>
      <c r="T31" s="12"/>
      <c r="U31" s="12"/>
    </row>
    <row r="32">
      <c r="A32" s="5" t="s">
        <v>201</v>
      </c>
      <c r="B32" s="5" t="s">
        <v>20</v>
      </c>
      <c r="C32" s="6">
        <v>1.0</v>
      </c>
      <c r="D32" s="6">
        <v>1970.0</v>
      </c>
      <c r="E32" s="5" t="str">
        <f>IFERROR(__xludf.DUMMYFUNCTION("TEXTJOIN("", "",TRUE,ARRAYFORMULA(IF(COUNTIFS(capitanes!A:A,SPLIT(D32,"",""),capitanes!B:B,A32)&gt;0,1,0)))"),"0")</f>
        <v>0</v>
      </c>
      <c r="F32" s="5" t="str">
        <f>IFERROR(__xludf.DUMMYFUNCTION("JOIN("", "",ARRAYFORMULA(IFERROR(VLOOKUP(VALUE(TRIM(SPLIT(D32,"",""))), QUERY(goles!A:C,""select A, sum(C) where B='""&amp;A32&amp;""' group by A""),2,FALSE),0)))"),"0")</f>
        <v>0</v>
      </c>
      <c r="G32" s="5" t="s">
        <v>202</v>
      </c>
      <c r="H32" s="5" t="s">
        <v>25</v>
      </c>
      <c r="I32" s="7">
        <v>15863.0</v>
      </c>
      <c r="J32" s="8">
        <v>15863.0</v>
      </c>
      <c r="K32" s="5" t="s">
        <v>203</v>
      </c>
      <c r="L32" s="5" t="s">
        <v>203</v>
      </c>
      <c r="M32" s="5" t="s">
        <v>25</v>
      </c>
      <c r="N32" s="9" t="s">
        <v>204</v>
      </c>
      <c r="O32" s="9" t="s">
        <v>205</v>
      </c>
      <c r="P32" s="10">
        <v>-34.91439405</v>
      </c>
      <c r="Q32" s="10">
        <v>-54.955297</v>
      </c>
      <c r="R32" s="14" t="s">
        <v>206</v>
      </c>
      <c r="S32" s="14" t="s">
        <v>207</v>
      </c>
      <c r="T32" s="12"/>
      <c r="U32" s="12"/>
    </row>
    <row r="33">
      <c r="A33" s="5" t="s">
        <v>208</v>
      </c>
      <c r="B33" s="5" t="s">
        <v>20</v>
      </c>
      <c r="C33" s="6">
        <v>1.0</v>
      </c>
      <c r="D33" s="6">
        <v>1990.0</v>
      </c>
      <c r="E33" s="5" t="str">
        <f>IFERROR(__xludf.DUMMYFUNCTION("TEXTJOIN("", "",TRUE,ARRAYFORMULA(IF(COUNTIFS(capitanes!A:A,SPLIT(D33,"",""),capitanes!B:B,A33)&gt;0,1,0)))"),"0")</f>
        <v>0</v>
      </c>
      <c r="F33" s="5" t="str">
        <f>IFERROR(__xludf.DUMMYFUNCTION("JOIN("", "",ARRAYFORMULA(IFERROR(VLOOKUP(VALUE(TRIM(SPLIT(D33,"",""))), QUERY(goles!A:C,""select A, sum(C) where B='""&amp;A33&amp;""' group by A""),2,FALSE),0)))"),"1")</f>
        <v>1</v>
      </c>
      <c r="G33" s="5" t="s">
        <v>59</v>
      </c>
      <c r="H33" s="5" t="s">
        <v>25</v>
      </c>
      <c r="I33" s="7">
        <v>25459.0</v>
      </c>
      <c r="J33" s="6" t="s">
        <v>209</v>
      </c>
      <c r="K33" s="5" t="s">
        <v>35</v>
      </c>
      <c r="L33" s="5" t="s">
        <v>35</v>
      </c>
      <c r="M33" s="5" t="s">
        <v>25</v>
      </c>
      <c r="N33" s="9" t="s">
        <v>36</v>
      </c>
      <c r="O33" s="9" t="s">
        <v>37</v>
      </c>
      <c r="P33" s="10">
        <v>-34.89453803</v>
      </c>
      <c r="Q33" s="10">
        <v>-56.15278107</v>
      </c>
      <c r="R33" s="14" t="s">
        <v>210</v>
      </c>
      <c r="S33" s="14" t="s">
        <v>211</v>
      </c>
      <c r="T33" s="12"/>
      <c r="U33" s="12"/>
    </row>
    <row r="34">
      <c r="A34" s="5" t="s">
        <v>212</v>
      </c>
      <c r="B34" s="5" t="s">
        <v>46</v>
      </c>
      <c r="C34" s="6">
        <v>1.0</v>
      </c>
      <c r="D34" s="6">
        <v>1986.0</v>
      </c>
      <c r="E34" s="5" t="str">
        <f>IFERROR(__xludf.DUMMYFUNCTION("TEXTJOIN("", "",TRUE,ARRAYFORMULA(IF(COUNTIFS(capitanes!A:A,SPLIT(D34,"",""),capitanes!B:B,A34)&gt;0,1,0)))"),"0")</f>
        <v>0</v>
      </c>
      <c r="F34" s="5" t="str">
        <f>IFERROR(__xludf.DUMMYFUNCTION("JOIN("", "",ARRAYFORMULA(IFERROR(VLOOKUP(VALUE(TRIM(SPLIT(D34,"",""))), QUERY(goles!A:C,""select A, sum(C) where B='""&amp;A34&amp;""' group by A""),2,FALSE),0)))"),"0")</f>
        <v>0</v>
      </c>
      <c r="G34" s="5" t="s">
        <v>213</v>
      </c>
      <c r="H34" s="5" t="s">
        <v>214</v>
      </c>
      <c r="I34" s="7">
        <v>20747.0</v>
      </c>
      <c r="J34" s="6" t="s">
        <v>215</v>
      </c>
      <c r="K34" s="5" t="s">
        <v>216</v>
      </c>
      <c r="L34" s="5" t="s">
        <v>24</v>
      </c>
      <c r="M34" s="5" t="s">
        <v>25</v>
      </c>
      <c r="N34" s="9" t="s">
        <v>217</v>
      </c>
      <c r="O34" s="9" t="s">
        <v>218</v>
      </c>
      <c r="P34" s="10">
        <v>-34.64966625</v>
      </c>
      <c r="Q34" s="10">
        <v>-56.06504923</v>
      </c>
      <c r="R34" s="5" t="s">
        <v>219</v>
      </c>
      <c r="S34" s="14" t="s">
        <v>220</v>
      </c>
      <c r="T34" s="12"/>
      <c r="U34" s="12"/>
    </row>
    <row r="35">
      <c r="A35" s="5" t="s">
        <v>221</v>
      </c>
      <c r="B35" s="5" t="s">
        <v>46</v>
      </c>
      <c r="C35" s="6">
        <v>1.0</v>
      </c>
      <c r="D35" s="6">
        <v>2002.0</v>
      </c>
      <c r="E35" s="5" t="str">
        <f>IFERROR(__xludf.DUMMYFUNCTION("TEXTJOIN("", "",TRUE,ARRAYFORMULA(IF(COUNTIFS(capitanes!A:A,SPLIT(D35,"",""),capitanes!B:B,A35)&gt;0,1,0)))"),"0")</f>
        <v>0</v>
      </c>
      <c r="F35" s="5" t="str">
        <f>IFERROR(__xludf.DUMMYFUNCTION("JOIN("", "",ARRAYFORMULA(IFERROR(VLOOKUP(VALUE(TRIM(SPLIT(D35,"",""))), QUERY(goles!A:C,""select A, sum(C) where B='""&amp;A35&amp;""' group by A""),2,FALSE),0)))"),"1")</f>
        <v>1</v>
      </c>
      <c r="G35" s="5" t="s">
        <v>54</v>
      </c>
      <c r="H35" s="5" t="s">
        <v>25</v>
      </c>
      <c r="I35" s="7">
        <v>27289.0</v>
      </c>
      <c r="J35" s="6" t="s">
        <v>222</v>
      </c>
      <c r="K35" s="5" t="s">
        <v>35</v>
      </c>
      <c r="L35" s="5" t="s">
        <v>35</v>
      </c>
      <c r="M35" s="5" t="s">
        <v>25</v>
      </c>
      <c r="N35" s="9" t="s">
        <v>36</v>
      </c>
      <c r="O35" s="9" t="s">
        <v>37</v>
      </c>
      <c r="P35" s="10">
        <v>-34.89453803</v>
      </c>
      <c r="Q35" s="10">
        <v>-56.15278107</v>
      </c>
      <c r="R35" s="5" t="s">
        <v>223</v>
      </c>
      <c r="S35" s="14" t="s">
        <v>224</v>
      </c>
      <c r="T35" s="12"/>
      <c r="U35" s="12"/>
    </row>
    <row r="36">
      <c r="A36" s="5" t="s">
        <v>225</v>
      </c>
      <c r="B36" s="5" t="s">
        <v>20</v>
      </c>
      <c r="C36" s="6">
        <v>1.0</v>
      </c>
      <c r="D36" s="6">
        <v>2002.0</v>
      </c>
      <c r="E36" s="5" t="str">
        <f>IFERROR(__xludf.DUMMYFUNCTION("TEXTJOIN("", "",TRUE,ARRAYFORMULA(IF(COUNTIFS(capitanes!A:A,SPLIT(D36,"",""),capitanes!B:B,A36)&gt;0,1,0)))"),"0")</f>
        <v>0</v>
      </c>
      <c r="F36" s="5" t="str">
        <f>IFERROR(__xludf.DUMMYFUNCTION("JOIN("", "",ARRAYFORMULA(IFERROR(VLOOKUP(VALUE(TRIM(SPLIT(D36,"",""))), QUERY(goles!A:C,""select A, sum(C) where B='""&amp;A36&amp;""' group by A""),2,FALSE),0)))"),"0")</f>
        <v>0</v>
      </c>
      <c r="G36" s="5" t="s">
        <v>226</v>
      </c>
      <c r="H36" s="5" t="s">
        <v>227</v>
      </c>
      <c r="I36" s="7">
        <v>26605.0</v>
      </c>
      <c r="J36" s="8">
        <v>26340.0</v>
      </c>
      <c r="K36" s="5" t="s">
        <v>228</v>
      </c>
      <c r="L36" s="5" t="s">
        <v>228</v>
      </c>
      <c r="M36" s="5" t="s">
        <v>25</v>
      </c>
      <c r="N36" s="9" t="s">
        <v>229</v>
      </c>
      <c r="O36" s="9" t="s">
        <v>230</v>
      </c>
      <c r="P36" s="10">
        <v>-33.22102512</v>
      </c>
      <c r="Q36" s="10">
        <v>-54.3753045</v>
      </c>
      <c r="R36" s="5" t="s">
        <v>231</v>
      </c>
      <c r="S36" s="14" t="s">
        <v>232</v>
      </c>
      <c r="T36" s="12"/>
      <c r="U36" s="12"/>
    </row>
    <row r="37">
      <c r="A37" s="5" t="s">
        <v>233</v>
      </c>
      <c r="B37" s="5" t="s">
        <v>20</v>
      </c>
      <c r="C37" s="6">
        <v>2.0</v>
      </c>
      <c r="D37" s="6" t="s">
        <v>32</v>
      </c>
      <c r="E37" s="5" t="str">
        <f>IFERROR(__xludf.DUMMYFUNCTION("TEXTJOIN("", "",TRUE,ARRAYFORMULA(IF(COUNTIFS(capitanes!A:A,SPLIT(D37,"",""),capitanes!B:B,A37)&gt;0,1,0)))"),"0, 0")</f>
        <v>0, 0</v>
      </c>
      <c r="F37" s="5" t="str">
        <f>IFERROR(__xludf.DUMMYFUNCTION("JOIN("", "",ARRAYFORMULA(IFERROR(VLOOKUP(VALUE(TRIM(SPLIT(D37,"",""))), QUERY(goles!A:C,""select A, sum(C) where B='""&amp;A37&amp;""' group by A""),2,FALSE),0)))"),"0, 0")</f>
        <v>0, 0</v>
      </c>
      <c r="G37" s="5" t="s">
        <v>234</v>
      </c>
      <c r="H37" s="5" t="s">
        <v>235</v>
      </c>
      <c r="I37" s="7">
        <v>36335.0</v>
      </c>
      <c r="J37" s="6" t="s">
        <v>236</v>
      </c>
      <c r="K37" s="5" t="s">
        <v>237</v>
      </c>
      <c r="L37" s="5" t="s">
        <v>237</v>
      </c>
      <c r="M37" s="5" t="s">
        <v>25</v>
      </c>
      <c r="N37" s="9" t="s">
        <v>238</v>
      </c>
      <c r="O37" s="9" t="s">
        <v>239</v>
      </c>
      <c r="P37" s="10">
        <v>-30.39450316</v>
      </c>
      <c r="Q37" s="10">
        <v>-56.45750082</v>
      </c>
      <c r="R37" s="5" t="s">
        <v>240</v>
      </c>
      <c r="S37" s="14" t="s">
        <v>241</v>
      </c>
      <c r="T37" s="12"/>
      <c r="U37" s="12"/>
    </row>
    <row r="38">
      <c r="A38" s="5" t="s">
        <v>242</v>
      </c>
      <c r="B38" s="5" t="s">
        <v>20</v>
      </c>
      <c r="C38" s="6">
        <v>1.0</v>
      </c>
      <c r="D38" s="6">
        <v>1974.0</v>
      </c>
      <c r="E38" s="5" t="str">
        <f>IFERROR(__xludf.DUMMYFUNCTION("TEXTJOIN("", "",TRUE,ARRAYFORMULA(IF(COUNTIFS(capitanes!A:A,SPLIT(D38,"",""),capitanes!B:B,A38)&gt;0,1,0)))"),"0")</f>
        <v>0</v>
      </c>
      <c r="F38" s="5" t="str">
        <f>IFERROR(__xludf.DUMMYFUNCTION("JOIN("", "",ARRAYFORMULA(IFERROR(VLOOKUP(VALUE(TRIM(SPLIT(D38,"",""))), QUERY(goles!A:C,""select A, sum(C) where B='""&amp;A38&amp;""' group by A""),2,FALSE),0)))"),"0")</f>
        <v>0</v>
      </c>
      <c r="G38" s="5" t="s">
        <v>47</v>
      </c>
      <c r="H38" s="5" t="s">
        <v>25</v>
      </c>
      <c r="I38" s="7">
        <v>19165.0</v>
      </c>
      <c r="J38" s="6" t="s">
        <v>243</v>
      </c>
      <c r="K38" s="5" t="s">
        <v>244</v>
      </c>
      <c r="L38" s="5" t="s">
        <v>244</v>
      </c>
      <c r="M38" s="5" t="s">
        <v>25</v>
      </c>
      <c r="N38" s="9" t="s">
        <v>245</v>
      </c>
      <c r="O38" s="9" t="s">
        <v>246</v>
      </c>
      <c r="P38" s="10">
        <v>-34.48659184</v>
      </c>
      <c r="Q38" s="10">
        <v>-54.32456579</v>
      </c>
      <c r="R38" s="14" t="s">
        <v>247</v>
      </c>
      <c r="S38" s="14" t="s">
        <v>248</v>
      </c>
      <c r="T38" s="12"/>
      <c r="U38" s="12"/>
    </row>
    <row r="39">
      <c r="A39" s="5" t="s">
        <v>249</v>
      </c>
      <c r="B39" s="5" t="s">
        <v>20</v>
      </c>
      <c r="C39" s="6">
        <v>3.0</v>
      </c>
      <c r="D39" s="5" t="s">
        <v>250</v>
      </c>
      <c r="E39" s="5" t="str">
        <f>IFERROR(__xludf.DUMMYFUNCTION("TEXTJOIN("", "",TRUE,ARRAYFORMULA(IF(COUNTIFS(capitanes!A:A,SPLIT(D39,"",""),capitanes!B:B,A39)&gt;0,1,0)))"),"0, 0, 0")</f>
        <v>0, 0, 0</v>
      </c>
      <c r="F39" s="5" t="str">
        <f>IFERROR(__xludf.DUMMYFUNCTION("JOIN("", "",ARRAYFORMULA(IFERROR(VLOOKUP(VALUE(TRIM(SPLIT(D39,"",""))), QUERY(goles!A:C,""select A, sum(C) where B='""&amp;A39&amp;""' group by A""),2,FALSE),0)))"),"1, 5, 0")</f>
        <v>1, 5, 0</v>
      </c>
      <c r="G39" s="5" t="s">
        <v>251</v>
      </c>
      <c r="H39" s="5" t="s">
        <v>252</v>
      </c>
      <c r="I39" s="7">
        <v>28994.0</v>
      </c>
      <c r="J39" s="6" t="s">
        <v>253</v>
      </c>
      <c r="K39" s="5" t="s">
        <v>35</v>
      </c>
      <c r="L39" s="5" t="s">
        <v>35</v>
      </c>
      <c r="M39" s="5" t="s">
        <v>25</v>
      </c>
      <c r="N39" s="9" t="s">
        <v>36</v>
      </c>
      <c r="O39" s="9" t="s">
        <v>37</v>
      </c>
      <c r="P39" s="10">
        <v>-34.89453803</v>
      </c>
      <c r="Q39" s="10">
        <v>-56.15278107</v>
      </c>
      <c r="R39" s="5" t="s">
        <v>254</v>
      </c>
      <c r="S39" s="14" t="s">
        <v>255</v>
      </c>
      <c r="T39" s="12"/>
      <c r="U39" s="12"/>
    </row>
    <row r="40">
      <c r="A40" s="5" t="s">
        <v>256</v>
      </c>
      <c r="B40" s="5" t="s">
        <v>46</v>
      </c>
      <c r="C40" s="6">
        <v>4.0</v>
      </c>
      <c r="D40" s="5" t="s">
        <v>257</v>
      </c>
      <c r="E40" s="5" t="str">
        <f>IFERROR(__xludf.DUMMYFUNCTION("TEXTJOIN("", "",TRUE,ARRAYFORMULA(IF(COUNTIFS(capitanes!A:A,SPLIT(D40,"",""),capitanes!B:B,A40)&gt;0,1,0)))"),"0, 1, 1, 1")</f>
        <v>0, 1, 1, 1</v>
      </c>
      <c r="F40" s="5" t="str">
        <f>IFERROR(__xludf.DUMMYFUNCTION("JOIN("", "",ARRAYFORMULA(IFERROR(VLOOKUP(VALUE(TRIM(SPLIT(D40,"",""))), QUERY(goles!A:C,""select A, sum(C) where B='""&amp;A40&amp;""' group by A""),2,FALSE),0)))"),"0, 1, 0, 0")</f>
        <v>0, 1, 0, 0</v>
      </c>
      <c r="G40" s="5" t="s">
        <v>258</v>
      </c>
      <c r="H40" s="5" t="s">
        <v>259</v>
      </c>
      <c r="I40" s="7">
        <v>31459.0</v>
      </c>
      <c r="J40" s="6" t="s">
        <v>260</v>
      </c>
      <c r="K40" s="5" t="s">
        <v>261</v>
      </c>
      <c r="L40" s="5" t="s">
        <v>74</v>
      </c>
      <c r="M40" s="5" t="s">
        <v>25</v>
      </c>
      <c r="N40" s="9" t="s">
        <v>262</v>
      </c>
      <c r="O40" s="9" t="s">
        <v>263</v>
      </c>
      <c r="P40" s="10">
        <v>-34.31157245</v>
      </c>
      <c r="Q40" s="10">
        <v>-57.3512649</v>
      </c>
      <c r="R40" s="5" t="s">
        <v>264</v>
      </c>
      <c r="S40" s="14" t="s">
        <v>265</v>
      </c>
      <c r="T40" s="12"/>
      <c r="U40" s="12"/>
    </row>
    <row r="41">
      <c r="A41" s="5" t="s">
        <v>266</v>
      </c>
      <c r="B41" s="5" t="s">
        <v>31</v>
      </c>
      <c r="C41" s="6">
        <v>1.0</v>
      </c>
      <c r="D41" s="6">
        <v>2018.0</v>
      </c>
      <c r="E41" s="5" t="str">
        <f>IFERROR(__xludf.DUMMYFUNCTION("TEXTJOIN("", "",TRUE,ARRAYFORMULA(IF(COUNTIFS(capitanes!A:A,SPLIT(D41,"",""),capitanes!B:B,A41)&gt;0,1,0)))"),"0")</f>
        <v>0</v>
      </c>
      <c r="F41" s="5" t="str">
        <f>IFERROR(__xludf.DUMMYFUNCTION("JOIN("", "",ARRAYFORMULA(IFERROR(VLOOKUP(VALUE(TRIM(SPLIT(D41,"",""))), QUERY(goles!A:C,""select A, sum(C) where B='""&amp;A41&amp;""' group by A""),2,FALSE),0)))"),"0")</f>
        <v>0</v>
      </c>
      <c r="G41" s="5" t="s">
        <v>267</v>
      </c>
      <c r="H41" s="5" t="s">
        <v>22</v>
      </c>
      <c r="I41" s="7">
        <v>34007.0</v>
      </c>
      <c r="J41" s="8">
        <v>34152.0</v>
      </c>
      <c r="K41" s="5" t="s">
        <v>35</v>
      </c>
      <c r="L41" s="5" t="s">
        <v>35</v>
      </c>
      <c r="M41" s="5" t="s">
        <v>25</v>
      </c>
      <c r="N41" s="9" t="s">
        <v>36</v>
      </c>
      <c r="O41" s="9" t="s">
        <v>37</v>
      </c>
      <c r="P41" s="10">
        <v>-34.89453803</v>
      </c>
      <c r="Q41" s="10">
        <v>-56.15278107</v>
      </c>
      <c r="R41" s="14" t="s">
        <v>268</v>
      </c>
      <c r="S41" s="14" t="s">
        <v>269</v>
      </c>
      <c r="T41" s="12"/>
      <c r="U41" s="12"/>
    </row>
    <row r="42">
      <c r="A42" s="5" t="s">
        <v>270</v>
      </c>
      <c r="B42" s="5" t="s">
        <v>46</v>
      </c>
      <c r="C42" s="6">
        <v>2.0</v>
      </c>
      <c r="D42" s="5" t="s">
        <v>89</v>
      </c>
      <c r="E42" s="5" t="str">
        <f>IFERROR(__xludf.DUMMYFUNCTION("TEXTJOIN("", "",TRUE,ARRAYFORMULA(IF(COUNTIFS(capitanes!A:A,SPLIT(D42,"",""),capitanes!B:B,A42)&gt;0,1,0)))"),"1, 1")</f>
        <v>1, 1</v>
      </c>
      <c r="F42" s="5" t="str">
        <f>IFERROR(__xludf.DUMMYFUNCTION("JOIN("", "",ARRAYFORMULA(IFERROR(VLOOKUP(VALUE(TRIM(SPLIT(D42,"",""))), QUERY(goles!A:C,""select A, sum(C) where B='""&amp;A42&amp;""' group by A""),2,FALSE),0)))"),"0, 0")</f>
        <v>0, 0</v>
      </c>
      <c r="G42" s="5" t="s">
        <v>271</v>
      </c>
      <c r="H42" s="5" t="s">
        <v>272</v>
      </c>
      <c r="I42" s="7">
        <v>29527.0</v>
      </c>
      <c r="J42" s="8">
        <v>29262.0</v>
      </c>
      <c r="K42" s="5" t="s">
        <v>24</v>
      </c>
      <c r="L42" s="5" t="s">
        <v>24</v>
      </c>
      <c r="M42" s="5" t="s">
        <v>25</v>
      </c>
      <c r="N42" s="9" t="s">
        <v>273</v>
      </c>
      <c r="O42" s="9" t="s">
        <v>274</v>
      </c>
      <c r="P42" s="10">
        <v>-34.52414955</v>
      </c>
      <c r="Q42" s="10">
        <v>-56.27395404</v>
      </c>
      <c r="R42" s="14" t="s">
        <v>275</v>
      </c>
      <c r="S42" s="14" t="s">
        <v>276</v>
      </c>
      <c r="T42" s="12"/>
      <c r="U42" s="12"/>
    </row>
    <row r="43">
      <c r="A43" s="5" t="s">
        <v>277</v>
      </c>
      <c r="B43" s="5" t="s">
        <v>31</v>
      </c>
      <c r="C43" s="6">
        <v>2.0</v>
      </c>
      <c r="D43" s="5" t="s">
        <v>89</v>
      </c>
      <c r="E43" s="5" t="str">
        <f>IFERROR(__xludf.DUMMYFUNCTION("TEXTJOIN("", "",TRUE,ARRAYFORMULA(IF(COUNTIFS(capitanes!A:A,SPLIT(D43,"",""),capitanes!B:B,A43)&gt;0,1,0)))"),"0, 0")</f>
        <v>0, 0</v>
      </c>
      <c r="F43" s="5" t="str">
        <f>IFERROR(__xludf.DUMMYFUNCTION("JOIN("", "",ARRAYFORMULA(IFERROR(VLOOKUP(VALUE(TRIM(SPLIT(D43,"",""))), QUERY(goles!A:C,""select A, sum(C) where B='""&amp;A43&amp;""' group by A""),2,FALSE),0)))"),"0, 0")</f>
        <v>0, 0</v>
      </c>
      <c r="G43" s="5" t="s">
        <v>278</v>
      </c>
      <c r="H43" s="5" t="s">
        <v>279</v>
      </c>
      <c r="I43" s="7">
        <v>29359.0</v>
      </c>
      <c r="J43" s="6" t="s">
        <v>280</v>
      </c>
      <c r="K43" s="5" t="s">
        <v>35</v>
      </c>
      <c r="L43" s="5" t="s">
        <v>35</v>
      </c>
      <c r="M43" s="5" t="s">
        <v>25</v>
      </c>
      <c r="N43" s="9" t="s">
        <v>36</v>
      </c>
      <c r="O43" s="9" t="s">
        <v>37</v>
      </c>
      <c r="P43" s="10">
        <v>-34.89453803</v>
      </c>
      <c r="Q43" s="10">
        <v>-56.15278107</v>
      </c>
      <c r="R43" s="5" t="s">
        <v>281</v>
      </c>
      <c r="S43" s="14" t="s">
        <v>282</v>
      </c>
      <c r="T43" s="12"/>
      <c r="U43" s="12"/>
    </row>
    <row r="44">
      <c r="A44" s="5" t="s">
        <v>283</v>
      </c>
      <c r="B44" s="5" t="s">
        <v>20</v>
      </c>
      <c r="C44" s="6">
        <v>2.0</v>
      </c>
      <c r="D44" s="5" t="s">
        <v>284</v>
      </c>
      <c r="E44" s="5" t="str">
        <f>IFERROR(__xludf.DUMMYFUNCTION("TEXTJOIN("", "",TRUE,ARRAYFORMULA(IF(COUNTIFS(capitanes!A:A,SPLIT(D44,"",""),capitanes!B:B,A44)&gt;0,1,0)))"),"0, 0")</f>
        <v>0, 0</v>
      </c>
      <c r="F44" s="5" t="str">
        <f>IFERROR(__xludf.DUMMYFUNCTION("JOIN("", "",ARRAYFORMULA(IFERROR(VLOOKUP(VALUE(TRIM(SPLIT(D44,"",""))), QUERY(goles!A:C,""select A, sum(C) where B='""&amp;A44&amp;""' group by A""),2,FALSE),0)))"),"0, 0")</f>
        <v>0, 0</v>
      </c>
      <c r="G44" s="5" t="s">
        <v>59</v>
      </c>
      <c r="H44" s="5" t="s">
        <v>25</v>
      </c>
      <c r="I44" s="7">
        <v>13308.0</v>
      </c>
      <c r="J44" s="8">
        <v>13337.0</v>
      </c>
      <c r="K44" s="5" t="s">
        <v>48</v>
      </c>
      <c r="L44" s="5" t="s">
        <v>48</v>
      </c>
      <c r="M44" s="5" t="s">
        <v>25</v>
      </c>
      <c r="N44" s="9" t="s">
        <v>49</v>
      </c>
      <c r="O44" s="9" t="s">
        <v>50</v>
      </c>
      <c r="P44" s="10">
        <v>-32.32100867</v>
      </c>
      <c r="Q44" s="10">
        <v>-58.08768999</v>
      </c>
      <c r="R44" s="5" t="s">
        <v>285</v>
      </c>
      <c r="S44" s="14" t="s">
        <v>286</v>
      </c>
      <c r="T44" s="12"/>
      <c r="U44" s="12"/>
    </row>
    <row r="45">
      <c r="A45" s="5" t="s">
        <v>287</v>
      </c>
      <c r="B45" s="5" t="s">
        <v>31</v>
      </c>
      <c r="C45" s="6">
        <v>1.0</v>
      </c>
      <c r="D45" s="6">
        <v>1930.0</v>
      </c>
      <c r="E45" s="5" t="str">
        <f>IFERROR(__xludf.DUMMYFUNCTION("TEXTJOIN("", "",TRUE,ARRAYFORMULA(IF(COUNTIFS(capitanes!A:A,SPLIT(D45,"",""),capitanes!B:B,A45)&gt;0,1,0)))"),"0")</f>
        <v>0</v>
      </c>
      <c r="F45" s="5" t="str">
        <f>IFERROR(__xludf.DUMMYFUNCTION("JOIN("", "",ARRAYFORMULA(IFERROR(VLOOKUP(VALUE(TRIM(SPLIT(D45,"",""))), QUERY(goles!A:C,""select A, sum(C) where B='""&amp;A45&amp;""' group by A""),2,FALSE),0)))"),"0")</f>
        <v>0</v>
      </c>
      <c r="G45" s="5" t="s">
        <v>54</v>
      </c>
      <c r="H45" s="5" t="s">
        <v>25</v>
      </c>
      <c r="I45" s="7">
        <v>141.0</v>
      </c>
      <c r="J45" s="6" t="s">
        <v>288</v>
      </c>
      <c r="K45" s="5" t="s">
        <v>289</v>
      </c>
      <c r="L45" s="20"/>
      <c r="M45" s="5" t="s">
        <v>227</v>
      </c>
      <c r="N45" s="9" t="s">
        <v>290</v>
      </c>
      <c r="O45" s="9" t="s">
        <v>291</v>
      </c>
      <c r="P45" s="21"/>
      <c r="Q45" s="21"/>
      <c r="R45" s="5" t="s">
        <v>292</v>
      </c>
      <c r="S45" s="14" t="s">
        <v>293</v>
      </c>
      <c r="T45" s="12"/>
      <c r="U45" s="12"/>
    </row>
    <row r="46">
      <c r="A46" s="5" t="s">
        <v>294</v>
      </c>
      <c r="B46" s="5" t="s">
        <v>46</v>
      </c>
      <c r="C46" s="6">
        <v>1.0</v>
      </c>
      <c r="D46" s="6">
        <v>1962.0</v>
      </c>
      <c r="E46" s="5" t="str">
        <f>IFERROR(__xludf.DUMMYFUNCTION("TEXTJOIN("", "",TRUE,ARRAYFORMULA(IF(COUNTIFS(capitanes!A:A,SPLIT(D46,"",""),capitanes!B:B,A46)&gt;0,1,0)))"),"0")</f>
        <v>0</v>
      </c>
      <c r="F46" s="5" t="str">
        <f>IFERROR(__xludf.DUMMYFUNCTION("JOIN("", "",ARRAYFORMULA(IFERROR(VLOOKUP(VALUE(TRIM(SPLIT(D46,"",""))), QUERY(goles!A:C,""select A, sum(C) where B='""&amp;A46&amp;""' group by A""),2,FALSE),0)))"),"0")</f>
        <v>0</v>
      </c>
      <c r="G46" s="5" t="s">
        <v>54</v>
      </c>
      <c r="H46" s="5" t="s">
        <v>25</v>
      </c>
      <c r="I46" s="5" t="s">
        <v>295</v>
      </c>
      <c r="J46" s="6" t="s">
        <v>296</v>
      </c>
      <c r="K46" s="5" t="s">
        <v>297</v>
      </c>
      <c r="L46" s="5" t="s">
        <v>74</v>
      </c>
      <c r="M46" s="5" t="s">
        <v>25</v>
      </c>
      <c r="N46" s="9" t="s">
        <v>298</v>
      </c>
      <c r="O46" s="9" t="s">
        <v>299</v>
      </c>
      <c r="P46" s="10">
        <v>-34.46709516</v>
      </c>
      <c r="Q46" s="10">
        <v>-57.84566773</v>
      </c>
      <c r="R46" s="14" t="s">
        <v>300</v>
      </c>
      <c r="S46" s="14" t="s">
        <v>301</v>
      </c>
      <c r="T46" s="12"/>
      <c r="U46" s="12"/>
    </row>
    <row r="47">
      <c r="A47" s="5" t="s">
        <v>302</v>
      </c>
      <c r="B47" s="5" t="s">
        <v>20</v>
      </c>
      <c r="C47" s="6">
        <v>4.0</v>
      </c>
      <c r="D47" s="5" t="s">
        <v>257</v>
      </c>
      <c r="E47" s="5" t="str">
        <f>IFERROR(__xludf.DUMMYFUNCTION("TEXTJOIN("", "",TRUE,ARRAYFORMULA(IF(COUNTIFS(capitanes!A:A,SPLIT(D47,"",""),capitanes!B:B,A47)&gt;0,1,0)))"),"0, 0, 0, 0")</f>
        <v>0, 0, 0, 0</v>
      </c>
      <c r="F47" s="5" t="str">
        <f>IFERROR(__xludf.DUMMYFUNCTION("JOIN("", "",ARRAYFORMULA(IFERROR(VLOOKUP(VALUE(TRIM(SPLIT(D47,"",""))), QUERY(goles!A:C,""select A, sum(C) where B='""&amp;A47&amp;""' group by A""),2,FALSE),0)))"),"1, 1, 3, 0")</f>
        <v>1, 1, 3, 0</v>
      </c>
      <c r="G47" s="5" t="s">
        <v>303</v>
      </c>
      <c r="H47" s="5" t="s">
        <v>304</v>
      </c>
      <c r="I47" s="7">
        <v>31822.0</v>
      </c>
      <c r="J47" s="6" t="s">
        <v>305</v>
      </c>
      <c r="K47" s="5" t="s">
        <v>187</v>
      </c>
      <c r="L47" s="5" t="s">
        <v>187</v>
      </c>
      <c r="M47" s="5" t="s">
        <v>25</v>
      </c>
      <c r="N47" s="9" t="s">
        <v>188</v>
      </c>
      <c r="O47" s="9" t="s">
        <v>189</v>
      </c>
      <c r="P47" s="10">
        <v>-31.38663817</v>
      </c>
      <c r="Q47" s="10">
        <v>-57.93598627</v>
      </c>
      <c r="R47" s="14" t="s">
        <v>306</v>
      </c>
      <c r="S47" s="14" t="s">
        <v>307</v>
      </c>
      <c r="T47" s="12"/>
      <c r="U47" s="12"/>
    </row>
    <row r="48">
      <c r="A48" s="5" t="s">
        <v>308</v>
      </c>
      <c r="B48" s="5" t="s">
        <v>46</v>
      </c>
      <c r="C48" s="6">
        <v>1.0</v>
      </c>
      <c r="D48" s="6">
        <v>1986.0</v>
      </c>
      <c r="E48" s="5" t="str">
        <f>IFERROR(__xludf.DUMMYFUNCTION("TEXTJOIN("", "",TRUE,ARRAYFORMULA(IF(COUNTIFS(capitanes!A:A,SPLIT(D48,"",""),capitanes!B:B,A48)&gt;0,1,0)))"),"1")</f>
        <v>1</v>
      </c>
      <c r="F48" s="5" t="str">
        <f>IFERROR(__xludf.DUMMYFUNCTION("JOIN("", "",ARRAYFORMULA(IFERROR(VLOOKUP(VALUE(TRIM(SPLIT(D48,"",""))), QUERY(goles!A:C,""select A, sum(C) where B='""&amp;A48&amp;""' group by A""),2,FALSE),0)))"),"0")</f>
        <v>0</v>
      </c>
      <c r="G48" s="5" t="s">
        <v>202</v>
      </c>
      <c r="H48" s="5" t="s">
        <v>25</v>
      </c>
      <c r="I48" s="7">
        <v>21818.0</v>
      </c>
      <c r="J48" s="6" t="s">
        <v>309</v>
      </c>
      <c r="K48" s="5" t="s">
        <v>35</v>
      </c>
      <c r="L48" s="5" t="s">
        <v>35</v>
      </c>
      <c r="M48" s="5" t="s">
        <v>25</v>
      </c>
      <c r="N48" s="9" t="s">
        <v>36</v>
      </c>
      <c r="O48" s="9" t="s">
        <v>37</v>
      </c>
      <c r="P48" s="10">
        <v>-34.89453803</v>
      </c>
      <c r="Q48" s="10">
        <v>-56.15278107</v>
      </c>
      <c r="R48" s="14" t="s">
        <v>310</v>
      </c>
      <c r="S48" s="14" t="s">
        <v>311</v>
      </c>
      <c r="T48" s="12"/>
      <c r="U48" s="12"/>
    </row>
    <row r="49">
      <c r="A49" s="5" t="s">
        <v>312</v>
      </c>
      <c r="B49" s="5" t="s">
        <v>117</v>
      </c>
      <c r="C49" s="6">
        <v>1.0</v>
      </c>
      <c r="D49" s="6">
        <v>1990.0</v>
      </c>
      <c r="E49" s="5" t="str">
        <f>IFERROR(__xludf.DUMMYFUNCTION("TEXTJOIN("", "",TRUE,ARRAYFORMULA(IF(COUNTIFS(capitanes!A:A,SPLIT(D49,"",""),capitanes!B:B,A49)&gt;0,1,0)))"),"0")</f>
        <v>0</v>
      </c>
      <c r="F49" s="5" t="str">
        <f>IFERROR(__xludf.DUMMYFUNCTION("JOIN("", "",ARRAYFORMULA(IFERROR(VLOOKUP(VALUE(TRIM(SPLIT(D49,"",""))), QUERY(goles!A:C,""select A, sum(C) where B='""&amp;A49&amp;""' group by A""),2,FALSE),0)))"),"0")</f>
        <v>0</v>
      </c>
      <c r="G49" s="5" t="s">
        <v>313</v>
      </c>
      <c r="H49" s="5" t="s">
        <v>136</v>
      </c>
      <c r="I49" s="7">
        <v>19804.0</v>
      </c>
      <c r="J49" s="6" t="s">
        <v>314</v>
      </c>
      <c r="K49" s="5" t="s">
        <v>35</v>
      </c>
      <c r="L49" s="5" t="s">
        <v>35</v>
      </c>
      <c r="M49" s="5" t="s">
        <v>25</v>
      </c>
      <c r="N49" s="9" t="s">
        <v>36</v>
      </c>
      <c r="O49" s="9" t="s">
        <v>37</v>
      </c>
      <c r="P49" s="10">
        <v>-34.89453803</v>
      </c>
      <c r="Q49" s="10">
        <v>-56.15278107</v>
      </c>
      <c r="R49" s="14" t="s">
        <v>315</v>
      </c>
      <c r="S49" s="14" t="s">
        <v>316</v>
      </c>
      <c r="T49" s="12"/>
      <c r="U49" s="12"/>
    </row>
    <row r="50">
      <c r="A50" s="5" t="s">
        <v>317</v>
      </c>
      <c r="B50" s="5" t="s">
        <v>31</v>
      </c>
      <c r="C50" s="6">
        <v>2.0</v>
      </c>
      <c r="D50" s="5" t="s">
        <v>89</v>
      </c>
      <c r="E50" s="5" t="str">
        <f>IFERROR(__xludf.DUMMYFUNCTION("TEXTJOIN("", "",TRUE,ARRAYFORMULA(IF(COUNTIFS(capitanes!A:A,SPLIT(D50,"",""),capitanes!B:B,A50)&gt;0,1,0)))"),"0, 0")</f>
        <v>0, 0</v>
      </c>
      <c r="F50" s="5" t="str">
        <f>IFERROR(__xludf.DUMMYFUNCTION("JOIN("", "",ARRAYFORMULA(IFERROR(VLOOKUP(VALUE(TRIM(SPLIT(D50,"",""))), QUERY(goles!A:C,""select A, sum(C) where B='""&amp;A50&amp;""' group by A""),2,FALSE),0)))"),"0, 0")</f>
        <v>0, 0</v>
      </c>
      <c r="G50" s="5" t="s">
        <v>318</v>
      </c>
      <c r="H50" s="5" t="s">
        <v>319</v>
      </c>
      <c r="I50" s="7">
        <v>29952.0</v>
      </c>
      <c r="J50" s="8">
        <v>29952.0</v>
      </c>
      <c r="K50" s="5" t="s">
        <v>48</v>
      </c>
      <c r="L50" s="5" t="s">
        <v>48</v>
      </c>
      <c r="M50" s="5" t="s">
        <v>25</v>
      </c>
      <c r="N50" s="9" t="s">
        <v>49</v>
      </c>
      <c r="O50" s="9" t="s">
        <v>50</v>
      </c>
      <c r="P50" s="10">
        <v>-32.32100867</v>
      </c>
      <c r="Q50" s="10">
        <v>-58.08768999</v>
      </c>
      <c r="R50" s="5" t="s">
        <v>320</v>
      </c>
      <c r="S50" s="14" t="s">
        <v>321</v>
      </c>
      <c r="T50" s="12"/>
      <c r="U50" s="12"/>
    </row>
    <row r="51">
      <c r="A51" s="5" t="s">
        <v>322</v>
      </c>
      <c r="B51" s="5" t="s">
        <v>46</v>
      </c>
      <c r="C51" s="6">
        <v>2.0</v>
      </c>
      <c r="D51" s="5" t="s">
        <v>284</v>
      </c>
      <c r="E51" s="5" t="str">
        <f>IFERROR(__xludf.DUMMYFUNCTION("TEXTJOIN("", "",TRUE,ARRAYFORMULA(IF(COUNTIFS(capitanes!A:A,SPLIT(D51,"",""),capitanes!B:B,A51)&gt;0,1,0)))"),"0, 0")</f>
        <v>0, 0</v>
      </c>
      <c r="F51" s="5" t="str">
        <f>IFERROR(__xludf.DUMMYFUNCTION("JOIN("", "",ARRAYFORMULA(IFERROR(VLOOKUP(VALUE(TRIM(SPLIT(D51,"",""))), QUERY(goles!A:C,""select A, sum(C) where B='""&amp;A51&amp;""' group by A""),2,FALSE),0)))"),"0, 0")</f>
        <v>0, 0</v>
      </c>
      <c r="G51" s="5" t="s">
        <v>323</v>
      </c>
      <c r="H51" s="5" t="s">
        <v>25</v>
      </c>
      <c r="I51" s="7">
        <v>14832.0</v>
      </c>
      <c r="J51" s="8">
        <v>14862.0</v>
      </c>
      <c r="K51" s="5" t="s">
        <v>187</v>
      </c>
      <c r="L51" s="5" t="s">
        <v>187</v>
      </c>
      <c r="M51" s="5" t="s">
        <v>25</v>
      </c>
      <c r="N51" s="9" t="s">
        <v>188</v>
      </c>
      <c r="O51" s="9" t="s">
        <v>189</v>
      </c>
      <c r="P51" s="10">
        <v>-31.38663817</v>
      </c>
      <c r="Q51" s="10">
        <v>-57.93598627</v>
      </c>
      <c r="R51" s="14" t="s">
        <v>324</v>
      </c>
      <c r="S51" s="11" t="s">
        <v>325</v>
      </c>
      <c r="T51" s="12"/>
      <c r="U51" s="12"/>
    </row>
    <row r="52">
      <c r="A52" s="5" t="s">
        <v>326</v>
      </c>
      <c r="B52" s="5" t="s">
        <v>46</v>
      </c>
      <c r="C52" s="6">
        <v>1.0</v>
      </c>
      <c r="D52" s="6">
        <v>1986.0</v>
      </c>
      <c r="E52" s="5" t="str">
        <f>IFERROR(__xludf.DUMMYFUNCTION("TEXTJOIN("", "",TRUE,ARRAYFORMULA(IF(COUNTIFS(capitanes!A:A,SPLIT(D52,"",""),capitanes!B:B,A52)&gt;0,1,0)))"),"0")</f>
        <v>0</v>
      </c>
      <c r="F52" s="5" t="str">
        <f>IFERROR(__xludf.DUMMYFUNCTION("JOIN("", "",ARRAYFORMULA(IFERROR(VLOOKUP(VALUE(TRIM(SPLIT(D52,"",""))), QUERY(goles!A:C,""select A, sum(C) where B='""&amp;A52&amp;""' group by A""),2,FALSE),0)))"),"0")</f>
        <v>0</v>
      </c>
      <c r="G52" s="5" t="s">
        <v>54</v>
      </c>
      <c r="H52" s="5" t="s">
        <v>25</v>
      </c>
      <c r="I52" s="7">
        <v>21181.0</v>
      </c>
      <c r="J52" s="6" t="s">
        <v>327</v>
      </c>
      <c r="K52" s="5" t="s">
        <v>35</v>
      </c>
      <c r="L52" s="5" t="s">
        <v>35</v>
      </c>
      <c r="M52" s="5" t="s">
        <v>25</v>
      </c>
      <c r="N52" s="9" t="s">
        <v>36</v>
      </c>
      <c r="O52" s="9" t="s">
        <v>37</v>
      </c>
      <c r="P52" s="10">
        <v>-34.89453803</v>
      </c>
      <c r="Q52" s="10">
        <v>-56.15278107</v>
      </c>
      <c r="R52" s="14" t="s">
        <v>328</v>
      </c>
      <c r="S52" s="11" t="s">
        <v>329</v>
      </c>
      <c r="T52" s="12"/>
      <c r="U52" s="12"/>
    </row>
    <row r="53">
      <c r="A53" s="16" t="s">
        <v>330</v>
      </c>
      <c r="B53" s="16" t="s">
        <v>31</v>
      </c>
      <c r="C53" s="16">
        <v>1.0</v>
      </c>
      <c r="D53" s="16">
        <v>2026.0</v>
      </c>
      <c r="E53" s="5" t="str">
        <f>IFERROR(__xludf.DUMMYFUNCTION("TEXTJOIN("", "",TRUE,ARRAYFORMULA(IF(COUNTIFS(capitanes!A:A,SPLIT(D53,"",""),capitanes!B:B,A53)&gt;0,1,0)))"),"0")</f>
        <v>0</v>
      </c>
      <c r="F53" s="5" t="str">
        <f>IFERROR(__xludf.DUMMYFUNCTION("JOIN("", "",ARRAYFORMULA(IFERROR(VLOOKUP(VALUE(TRIM(SPLIT(D53,"",""))), QUERY(goles!A:C,""select A, sum(C) where B='""&amp;A53&amp;""' group by A""),2,FALSE),0)))"),"0")</f>
        <v>0</v>
      </c>
      <c r="G53" s="16" t="s">
        <v>331</v>
      </c>
      <c r="H53" s="16" t="s">
        <v>214</v>
      </c>
      <c r="I53" s="17">
        <v>35659.0</v>
      </c>
      <c r="J53" s="16" t="s">
        <v>332</v>
      </c>
      <c r="K53" s="16" t="s">
        <v>333</v>
      </c>
      <c r="L53" s="16" t="s">
        <v>203</v>
      </c>
      <c r="M53" s="16" t="s">
        <v>25</v>
      </c>
      <c r="N53" s="9" t="s">
        <v>334</v>
      </c>
      <c r="O53" s="9" t="s">
        <v>335</v>
      </c>
      <c r="P53" s="10">
        <v>-34.9363138</v>
      </c>
      <c r="Q53" s="10">
        <v>-54.93782144</v>
      </c>
      <c r="R53" s="19" t="s">
        <v>336</v>
      </c>
      <c r="S53" s="19" t="s">
        <v>337</v>
      </c>
      <c r="T53" s="12"/>
      <c r="U53" s="12"/>
    </row>
    <row r="54">
      <c r="A54" s="5" t="s">
        <v>338</v>
      </c>
      <c r="B54" s="5" t="s">
        <v>46</v>
      </c>
      <c r="C54" s="6">
        <v>2.0</v>
      </c>
      <c r="D54" s="5" t="s">
        <v>284</v>
      </c>
      <c r="E54" s="5" t="str">
        <f>IFERROR(__xludf.DUMMYFUNCTION("TEXTJOIN("", "",TRUE,ARRAYFORMULA(IF(COUNTIFS(capitanes!A:A,SPLIT(D54,"",""),capitanes!B:B,A54)&gt;0,1,0)))"),"0, 0")</f>
        <v>0, 0</v>
      </c>
      <c r="F54" s="5" t="str">
        <f>IFERROR(__xludf.DUMMYFUNCTION("JOIN("", "",ARRAYFORMULA(IFERROR(VLOOKUP(VALUE(TRIM(SPLIT(D54,"",""))), QUERY(goles!A:C,""select A, sum(C) where B='""&amp;A54&amp;""' group by A""),2,FALSE),0)))"),"0, 0")</f>
        <v>0, 0</v>
      </c>
      <c r="G54" s="5" t="s">
        <v>59</v>
      </c>
      <c r="H54" s="5" t="s">
        <v>25</v>
      </c>
      <c r="I54" s="7">
        <v>14286.0</v>
      </c>
      <c r="J54" s="8">
        <v>14520.0</v>
      </c>
      <c r="K54" s="5" t="s">
        <v>35</v>
      </c>
      <c r="L54" s="5" t="s">
        <v>35</v>
      </c>
      <c r="M54" s="5" t="s">
        <v>25</v>
      </c>
      <c r="N54" s="9" t="s">
        <v>36</v>
      </c>
      <c r="O54" s="9" t="s">
        <v>37</v>
      </c>
      <c r="P54" s="10">
        <v>-34.89453803</v>
      </c>
      <c r="Q54" s="10">
        <v>-56.15278107</v>
      </c>
      <c r="R54" s="5" t="s">
        <v>339</v>
      </c>
      <c r="S54" s="14" t="s">
        <v>340</v>
      </c>
      <c r="T54" s="12"/>
      <c r="U54" s="12"/>
    </row>
    <row r="55">
      <c r="A55" s="5" t="s">
        <v>341</v>
      </c>
      <c r="B55" s="5" t="s">
        <v>31</v>
      </c>
      <c r="C55" s="6">
        <v>1.0</v>
      </c>
      <c r="D55" s="6">
        <v>1930.0</v>
      </c>
      <c r="E55" s="5" t="str">
        <f>IFERROR(__xludf.DUMMYFUNCTION("TEXTJOIN("", "",TRUE,ARRAYFORMULA(IF(COUNTIFS(capitanes!A:A,SPLIT(D55,"",""),capitanes!B:B,A55)&gt;0,1,0)))"),"0")</f>
        <v>0</v>
      </c>
      <c r="F55" s="5" t="str">
        <f>IFERROR(__xludf.DUMMYFUNCTION("JOIN("", "",ARRAYFORMULA(IFERROR(VLOOKUP(VALUE(TRIM(SPLIT(D55,"",""))), QUERY(goles!A:C,""select A, sum(C) where B='""&amp;A55&amp;""' group by A""),2,FALSE),0)))"),"0")</f>
        <v>0</v>
      </c>
      <c r="G55" s="5" t="s">
        <v>342</v>
      </c>
      <c r="H55" s="5" t="s">
        <v>25</v>
      </c>
      <c r="I55" s="7">
        <v>1908.0</v>
      </c>
      <c r="J55" s="6" t="s">
        <v>343</v>
      </c>
      <c r="K55" s="5" t="s">
        <v>187</v>
      </c>
      <c r="L55" s="5" t="s">
        <v>187</v>
      </c>
      <c r="M55" s="5" t="s">
        <v>25</v>
      </c>
      <c r="N55" s="9" t="s">
        <v>188</v>
      </c>
      <c r="O55" s="9" t="s">
        <v>189</v>
      </c>
      <c r="P55" s="10">
        <v>-31.38663817</v>
      </c>
      <c r="Q55" s="10">
        <v>-57.93598627</v>
      </c>
      <c r="R55" s="5" t="s">
        <v>344</v>
      </c>
      <c r="S55" s="11" t="s">
        <v>345</v>
      </c>
      <c r="T55" s="12"/>
      <c r="U55" s="12"/>
    </row>
    <row r="56">
      <c r="A56" s="5" t="s">
        <v>346</v>
      </c>
      <c r="B56" s="5" t="s">
        <v>46</v>
      </c>
      <c r="C56" s="6">
        <v>1.0</v>
      </c>
      <c r="D56" s="6">
        <v>1930.0</v>
      </c>
      <c r="E56" s="5" t="str">
        <f>IFERROR(__xludf.DUMMYFUNCTION("TEXTJOIN("", "",TRUE,ARRAYFORMULA(IF(COUNTIFS(capitanes!A:A,SPLIT(D56,"",""),capitanes!B:B,A56)&gt;0,1,0)))"),"0")</f>
        <v>0</v>
      </c>
      <c r="F56" s="5" t="str">
        <f>IFERROR(__xludf.DUMMYFUNCTION("JOIN("", "",ARRAYFORMULA(IFERROR(VLOOKUP(VALUE(TRIM(SPLIT(D56,"",""))), QUERY(goles!A:C,""select A, sum(C) where B='""&amp;A56&amp;""' group by A""),2,FALSE),0)))"),"0")</f>
        <v>0</v>
      </c>
      <c r="G56" s="5" t="s">
        <v>59</v>
      </c>
      <c r="H56" s="5" t="s">
        <v>25</v>
      </c>
      <c r="I56" s="7" t="s">
        <v>347</v>
      </c>
      <c r="J56" s="22" t="s">
        <v>348</v>
      </c>
      <c r="K56" s="5" t="s">
        <v>35</v>
      </c>
      <c r="L56" s="5" t="s">
        <v>35</v>
      </c>
      <c r="M56" s="5" t="s">
        <v>25</v>
      </c>
      <c r="N56" s="9" t="s">
        <v>36</v>
      </c>
      <c r="O56" s="9" t="s">
        <v>37</v>
      </c>
      <c r="P56" s="10">
        <v>-34.89453803</v>
      </c>
      <c r="Q56" s="10">
        <v>-56.15278107</v>
      </c>
      <c r="R56" s="14" t="s">
        <v>349</v>
      </c>
      <c r="S56" s="14" t="s">
        <v>350</v>
      </c>
      <c r="T56" s="12"/>
      <c r="U56" s="12"/>
    </row>
    <row r="57">
      <c r="A57" s="5" t="s">
        <v>351</v>
      </c>
      <c r="B57" s="5" t="s">
        <v>20</v>
      </c>
      <c r="C57" s="6">
        <v>2.0</v>
      </c>
      <c r="D57" s="5" t="s">
        <v>122</v>
      </c>
      <c r="E57" s="5" t="str">
        <f>IFERROR(__xludf.DUMMYFUNCTION("TEXTJOIN("", "",TRUE,ARRAYFORMULA(IF(COUNTIFS(capitanes!A:A,SPLIT(D57,"",""),capitanes!B:B,A57)&gt;0,1,0)))"),"0, 1")</f>
        <v>0, 1</v>
      </c>
      <c r="F57" s="5" t="str">
        <f>IFERROR(__xludf.DUMMYFUNCTION("JOIN("", "",ARRAYFORMULA(IFERROR(VLOOKUP(VALUE(TRIM(SPLIT(D57,"",""))), QUERY(goles!A:C,""select A, sum(C) where B='""&amp;A57&amp;""' group by A""),2,FALSE),0)))"),"0, 0")</f>
        <v>0, 0</v>
      </c>
      <c r="G57" s="5" t="s">
        <v>352</v>
      </c>
      <c r="H57" s="5" t="s">
        <v>353</v>
      </c>
      <c r="I57" s="7">
        <v>22597.0</v>
      </c>
      <c r="J57" s="8">
        <v>22626.0</v>
      </c>
      <c r="K57" s="5" t="s">
        <v>35</v>
      </c>
      <c r="L57" s="5" t="s">
        <v>35</v>
      </c>
      <c r="M57" s="5" t="s">
        <v>25</v>
      </c>
      <c r="N57" s="9" t="s">
        <v>36</v>
      </c>
      <c r="O57" s="9" t="s">
        <v>37</v>
      </c>
      <c r="P57" s="10">
        <v>-34.89453803</v>
      </c>
      <c r="Q57" s="10">
        <v>-56.15278107</v>
      </c>
      <c r="R57" s="14" t="s">
        <v>354</v>
      </c>
      <c r="S57" s="14" t="s">
        <v>355</v>
      </c>
      <c r="T57" s="12"/>
      <c r="U57" s="12"/>
    </row>
    <row r="58">
      <c r="A58" s="5" t="s">
        <v>356</v>
      </c>
      <c r="B58" s="5" t="s">
        <v>46</v>
      </c>
      <c r="C58" s="6">
        <v>1.0</v>
      </c>
      <c r="D58" s="6">
        <v>1930.0</v>
      </c>
      <c r="E58" s="5" t="str">
        <f>IFERROR(__xludf.DUMMYFUNCTION("TEXTJOIN("", "",TRUE,ARRAYFORMULA(IF(COUNTIFS(capitanes!A:A,SPLIT(D58,"",""),capitanes!B:B,A58)&gt;0,1,0)))"),"0")</f>
        <v>0</v>
      </c>
      <c r="F58" s="5" t="str">
        <f>IFERROR(__xludf.DUMMYFUNCTION("JOIN("", "",ARRAYFORMULA(IFERROR(VLOOKUP(VALUE(TRIM(SPLIT(D58,"",""))), QUERY(goles!A:C,""select A, sum(C) where B='""&amp;A58&amp;""' group by A""),2,FALSE),0)))"),"0")</f>
        <v>0</v>
      </c>
      <c r="G58" s="5" t="s">
        <v>170</v>
      </c>
      <c r="H58" s="5" t="s">
        <v>25</v>
      </c>
      <c r="I58" s="7" t="s">
        <v>357</v>
      </c>
      <c r="J58" s="5" t="s">
        <v>358</v>
      </c>
      <c r="K58" s="5" t="s">
        <v>35</v>
      </c>
      <c r="L58" s="5" t="s">
        <v>35</v>
      </c>
      <c r="M58" s="5" t="s">
        <v>25</v>
      </c>
      <c r="N58" s="9" t="s">
        <v>36</v>
      </c>
      <c r="O58" s="9" t="s">
        <v>37</v>
      </c>
      <c r="P58" s="10">
        <v>-34.89453803</v>
      </c>
      <c r="Q58" s="10">
        <v>-56.15278107</v>
      </c>
      <c r="R58" s="14" t="s">
        <v>359</v>
      </c>
      <c r="S58" s="14" t="s">
        <v>360</v>
      </c>
      <c r="T58" s="12"/>
      <c r="U58" s="12"/>
    </row>
    <row r="59">
      <c r="A59" s="5" t="s">
        <v>361</v>
      </c>
      <c r="B59" s="5" t="s">
        <v>20</v>
      </c>
      <c r="C59" s="6">
        <v>1.0</v>
      </c>
      <c r="D59" s="6">
        <v>1950.0</v>
      </c>
      <c r="E59" s="5" t="str">
        <f>IFERROR(__xludf.DUMMYFUNCTION("TEXTJOIN("", "",TRUE,ARRAYFORMULA(IF(COUNTIFS(capitanes!A:A,SPLIT(D59,"",""),capitanes!B:B,A59)&gt;0,1,0)))"),"0")</f>
        <v>0</v>
      </c>
      <c r="F59" s="5" t="str">
        <f>IFERROR(__xludf.DUMMYFUNCTION("JOIN("", "",ARRAYFORMULA(IFERROR(VLOOKUP(VALUE(TRIM(SPLIT(D59,"",""))), QUERY(goles!A:C,""select A, sum(C) where B='""&amp;A59&amp;""' group by A""),2,FALSE),0)))"),"1")</f>
        <v>1</v>
      </c>
      <c r="G59" s="5" t="s">
        <v>54</v>
      </c>
      <c r="H59" s="5" t="s">
        <v>25</v>
      </c>
      <c r="I59" s="7">
        <v>7990.0</v>
      </c>
      <c r="J59" s="6" t="s">
        <v>362</v>
      </c>
      <c r="K59" s="5" t="s">
        <v>363</v>
      </c>
      <c r="L59" s="20"/>
      <c r="M59" s="5" t="s">
        <v>364</v>
      </c>
      <c r="N59" s="9" t="s">
        <v>365</v>
      </c>
      <c r="O59" s="9" t="s">
        <v>366</v>
      </c>
      <c r="P59" s="21"/>
      <c r="Q59" s="21"/>
      <c r="R59" s="14" t="s">
        <v>367</v>
      </c>
      <c r="S59" s="14" t="s">
        <v>368</v>
      </c>
      <c r="T59" s="12"/>
      <c r="U59" s="12"/>
    </row>
    <row r="60">
      <c r="A60" s="5" t="s">
        <v>369</v>
      </c>
      <c r="B60" s="5" t="s">
        <v>46</v>
      </c>
      <c r="C60" s="6">
        <v>2.0</v>
      </c>
      <c r="D60" s="5" t="s">
        <v>370</v>
      </c>
      <c r="E60" s="5" t="str">
        <f>IFERROR(__xludf.DUMMYFUNCTION("TEXTJOIN("", "",TRUE,ARRAYFORMULA(IF(COUNTIFS(capitanes!A:A,SPLIT(D60,"",""),capitanes!B:B,A60)&gt;0,1,0)))"),"0, 0")</f>
        <v>0, 0</v>
      </c>
      <c r="F60" s="5" t="str">
        <f>IFERROR(__xludf.DUMMYFUNCTION("JOIN("", "",ARRAYFORMULA(IFERROR(VLOOKUP(VALUE(TRIM(SPLIT(D60,"",""))), QUERY(goles!A:C,""select A, sum(C) where B='""&amp;A60&amp;""' group by A""),2,FALSE),0)))"),"0, 0")</f>
        <v>0, 0</v>
      </c>
      <c r="G60" s="5" t="s">
        <v>371</v>
      </c>
      <c r="H60" s="5" t="s">
        <v>25</v>
      </c>
      <c r="I60" s="7">
        <v>8042.0</v>
      </c>
      <c r="J60" s="8">
        <v>8188.0</v>
      </c>
      <c r="K60" s="5" t="s">
        <v>35</v>
      </c>
      <c r="L60" s="5" t="s">
        <v>35</v>
      </c>
      <c r="M60" s="5" t="s">
        <v>25</v>
      </c>
      <c r="N60" s="9" t="s">
        <v>36</v>
      </c>
      <c r="O60" s="9" t="s">
        <v>37</v>
      </c>
      <c r="P60" s="10">
        <v>-34.89453803</v>
      </c>
      <c r="Q60" s="10">
        <v>-56.15278107</v>
      </c>
      <c r="R60" s="14" t="s">
        <v>372</v>
      </c>
      <c r="S60" s="14" t="s">
        <v>373</v>
      </c>
      <c r="T60" s="12"/>
      <c r="U60" s="12"/>
    </row>
    <row r="61">
      <c r="A61" s="5" t="s">
        <v>374</v>
      </c>
      <c r="B61" s="5" t="s">
        <v>117</v>
      </c>
      <c r="C61" s="6">
        <v>1.0</v>
      </c>
      <c r="D61" s="6">
        <v>2002.0</v>
      </c>
      <c r="E61" s="5" t="str">
        <f>IFERROR(__xludf.DUMMYFUNCTION("TEXTJOIN("", "",TRUE,ARRAYFORMULA(IF(COUNTIFS(capitanes!A:A,SPLIT(D61,"",""),capitanes!B:B,A61)&gt;0,1,0)))"),"0")</f>
        <v>0</v>
      </c>
      <c r="F61" s="5" t="str">
        <f>IFERROR(__xludf.DUMMYFUNCTION("JOIN("", "",ARRAYFORMULA(IFERROR(VLOOKUP(VALUE(TRIM(SPLIT(D61,"",""))), QUERY(goles!A:C,""select A, sum(C) where B='""&amp;A61&amp;""' group by A""),2,FALSE),0)))"),"0")</f>
        <v>0</v>
      </c>
      <c r="G61" s="5" t="s">
        <v>375</v>
      </c>
      <c r="H61" s="5" t="s">
        <v>22</v>
      </c>
      <c r="I61" s="7">
        <v>29215.0</v>
      </c>
      <c r="J61" s="6" t="s">
        <v>376</v>
      </c>
      <c r="K61" s="5" t="s">
        <v>35</v>
      </c>
      <c r="L61" s="5" t="s">
        <v>35</v>
      </c>
      <c r="M61" s="5" t="s">
        <v>25</v>
      </c>
      <c r="N61" s="9" t="s">
        <v>36</v>
      </c>
      <c r="O61" s="9" t="s">
        <v>37</v>
      </c>
      <c r="P61" s="10">
        <v>-34.89453803</v>
      </c>
      <c r="Q61" s="10">
        <v>-56.15278107</v>
      </c>
      <c r="R61" s="5" t="s">
        <v>377</v>
      </c>
      <c r="S61" s="14" t="s">
        <v>378</v>
      </c>
      <c r="T61" s="12"/>
      <c r="U61" s="12"/>
    </row>
    <row r="62">
      <c r="A62" s="5" t="s">
        <v>379</v>
      </c>
      <c r="B62" s="5" t="s">
        <v>20</v>
      </c>
      <c r="C62" s="6">
        <v>1.0</v>
      </c>
      <c r="D62" s="6">
        <v>2002.0</v>
      </c>
      <c r="E62" s="5" t="str">
        <f>IFERROR(__xludf.DUMMYFUNCTION("TEXTJOIN("", "",TRUE,ARRAYFORMULA(IF(COUNTIFS(capitanes!A:A,SPLIT(D62,"",""),capitanes!B:B,A62)&gt;0,1,0)))"),"0")</f>
        <v>0</v>
      </c>
      <c r="F62" s="5" t="str">
        <f>IFERROR(__xludf.DUMMYFUNCTION("JOIN("", "",ARRAYFORMULA(IFERROR(VLOOKUP(VALUE(TRIM(SPLIT(D62,"",""))), QUERY(goles!A:C,""select A, sum(C) where B='""&amp;A62&amp;""' group by A""),2,FALSE),0)))"),"0")</f>
        <v>0</v>
      </c>
      <c r="G62" s="5" t="s">
        <v>380</v>
      </c>
      <c r="H62" s="5" t="s">
        <v>381</v>
      </c>
      <c r="I62" s="7">
        <v>26951.0</v>
      </c>
      <c r="J62" s="6" t="s">
        <v>382</v>
      </c>
      <c r="K62" s="5" t="s">
        <v>383</v>
      </c>
      <c r="L62" s="5" t="s">
        <v>384</v>
      </c>
      <c r="M62" s="5" t="s">
        <v>25</v>
      </c>
      <c r="N62" s="9" t="s">
        <v>385</v>
      </c>
      <c r="O62" s="9" t="s">
        <v>386</v>
      </c>
      <c r="P62" s="10">
        <v>-32.81147342</v>
      </c>
      <c r="Q62" s="10">
        <v>-56.50741948</v>
      </c>
      <c r="R62" s="5" t="s">
        <v>387</v>
      </c>
      <c r="S62" s="14" t="s">
        <v>388</v>
      </c>
      <c r="T62" s="12"/>
      <c r="U62" s="12"/>
    </row>
    <row r="63">
      <c r="A63" s="5" t="s">
        <v>389</v>
      </c>
      <c r="B63" s="5" t="s">
        <v>20</v>
      </c>
      <c r="C63" s="6">
        <v>2.0</v>
      </c>
      <c r="D63" s="6" t="s">
        <v>32</v>
      </c>
      <c r="E63" s="5" t="str">
        <f>IFERROR(__xludf.DUMMYFUNCTION("TEXTJOIN("", "",TRUE,ARRAYFORMULA(IF(COUNTIFS(capitanes!A:A,SPLIT(D63,"",""),capitanes!B:B,A63)&gt;0,1,0)))"),"0, 0")</f>
        <v>0, 0</v>
      </c>
      <c r="F63" s="5" t="str">
        <f>IFERROR(__xludf.DUMMYFUNCTION("JOIN("", "",ARRAYFORMULA(IFERROR(VLOOKUP(VALUE(TRIM(SPLIT(D63,"",""))), QUERY(goles!A:C,""select A, sum(C) where B='""&amp;A63&amp;""' group by A""),2,FALSE),0)))"),"0, 0")</f>
        <v>0, 0</v>
      </c>
      <c r="G63" s="5" t="s">
        <v>390</v>
      </c>
      <c r="H63" s="5" t="s">
        <v>391</v>
      </c>
      <c r="I63" s="7">
        <v>37245.0</v>
      </c>
      <c r="J63" s="6" t="s">
        <v>392</v>
      </c>
      <c r="K63" s="5" t="s">
        <v>35</v>
      </c>
      <c r="L63" s="5" t="s">
        <v>35</v>
      </c>
      <c r="M63" s="5" t="s">
        <v>25</v>
      </c>
      <c r="N63" s="9" t="s">
        <v>36</v>
      </c>
      <c r="O63" s="9" t="s">
        <v>37</v>
      </c>
      <c r="P63" s="10">
        <v>-34.89453803</v>
      </c>
      <c r="Q63" s="10">
        <v>-56.15278107</v>
      </c>
      <c r="R63" s="14" t="s">
        <v>393</v>
      </c>
      <c r="S63" s="14" t="s">
        <v>394</v>
      </c>
      <c r="T63" s="12"/>
      <c r="U63" s="12"/>
    </row>
    <row r="64">
      <c r="A64" s="5" t="s">
        <v>395</v>
      </c>
      <c r="B64" s="5" t="s">
        <v>20</v>
      </c>
      <c r="C64" s="6">
        <v>1.0</v>
      </c>
      <c r="D64" s="6">
        <v>2022.0</v>
      </c>
      <c r="E64" s="5" t="str">
        <f>IFERROR(__xludf.DUMMYFUNCTION("TEXTJOIN("", "",TRUE,ARRAYFORMULA(IF(COUNTIFS(capitanes!A:A,SPLIT(D64,"",""),capitanes!B:B,A64)&gt;0,1,0)))"),"0")</f>
        <v>0</v>
      </c>
      <c r="F64" s="5" t="str">
        <f>IFERROR(__xludf.DUMMYFUNCTION("JOIN("", "",ARRAYFORMULA(IFERROR(VLOOKUP(VALUE(TRIM(SPLIT(D64,"",""))), QUERY(goles!A:C,""select A, sum(C) where B='""&amp;A64&amp;""' group by A""),2,FALSE),0)))"),"0")</f>
        <v>0</v>
      </c>
      <c r="G64" s="5" t="s">
        <v>396</v>
      </c>
      <c r="H64" s="5" t="s">
        <v>397</v>
      </c>
      <c r="I64" s="7">
        <v>36629.0</v>
      </c>
      <c r="J64" s="6" t="s">
        <v>398</v>
      </c>
      <c r="K64" s="5" t="s">
        <v>35</v>
      </c>
      <c r="L64" s="5" t="s">
        <v>35</v>
      </c>
      <c r="M64" s="5" t="s">
        <v>25</v>
      </c>
      <c r="N64" s="9" t="s">
        <v>36</v>
      </c>
      <c r="O64" s="9" t="s">
        <v>37</v>
      </c>
      <c r="P64" s="10">
        <v>-34.89453803</v>
      </c>
      <c r="Q64" s="10">
        <v>-56.15278107</v>
      </c>
      <c r="R64" s="14" t="s">
        <v>399</v>
      </c>
      <c r="S64" s="14" t="s">
        <v>400</v>
      </c>
      <c r="T64" s="12"/>
      <c r="U64" s="12"/>
    </row>
    <row r="65">
      <c r="A65" s="5" t="s">
        <v>401</v>
      </c>
      <c r="B65" s="5" t="s">
        <v>117</v>
      </c>
      <c r="C65" s="6">
        <v>1.0</v>
      </c>
      <c r="D65" s="6">
        <v>2002.0</v>
      </c>
      <c r="E65" s="5" t="str">
        <f>IFERROR(__xludf.DUMMYFUNCTION("TEXTJOIN("", "",TRUE,ARRAYFORMULA(IF(COUNTIFS(capitanes!A:A,SPLIT(D65,"",""),capitanes!B:B,A65)&gt;0,1,0)))"),"0")</f>
        <v>0</v>
      </c>
      <c r="F65" s="5" t="str">
        <f>IFERROR(__xludf.DUMMYFUNCTION("JOIN("", "",ARRAYFORMULA(IFERROR(VLOOKUP(VALUE(TRIM(SPLIT(D65,"",""))), QUERY(goles!A:C,""select A, sum(C) where B='""&amp;A65&amp;""' group by A""),2,FALSE),0)))"),"0")</f>
        <v>0</v>
      </c>
      <c r="G65" s="5" t="s">
        <v>54</v>
      </c>
      <c r="H65" s="5" t="s">
        <v>25</v>
      </c>
      <c r="I65" s="7">
        <v>28301.0</v>
      </c>
      <c r="J65" s="6" t="s">
        <v>402</v>
      </c>
      <c r="K65" s="5" t="s">
        <v>403</v>
      </c>
      <c r="L65" s="5" t="s">
        <v>404</v>
      </c>
      <c r="M65" s="5" t="s">
        <v>25</v>
      </c>
      <c r="N65" s="9" t="s">
        <v>405</v>
      </c>
      <c r="O65" s="9" t="s">
        <v>406</v>
      </c>
      <c r="P65" s="10">
        <v>-33.1193385</v>
      </c>
      <c r="Q65" s="10">
        <v>-58.31770138</v>
      </c>
      <c r="R65" s="14" t="s">
        <v>407</v>
      </c>
      <c r="S65" s="11" t="s">
        <v>408</v>
      </c>
      <c r="T65" s="12"/>
      <c r="U65" s="12"/>
    </row>
    <row r="66">
      <c r="A66" s="5" t="s">
        <v>409</v>
      </c>
      <c r="B66" s="5" t="s">
        <v>20</v>
      </c>
      <c r="C66" s="6">
        <v>1.0</v>
      </c>
      <c r="D66" s="6">
        <v>2002.0</v>
      </c>
      <c r="E66" s="5" t="str">
        <f>IFERROR(__xludf.DUMMYFUNCTION("TEXTJOIN("", "",TRUE,ARRAYFORMULA(IF(COUNTIFS(capitanes!A:A,SPLIT(D66,"",""),capitanes!B:B,A66)&gt;0,1,0)))"),"0")</f>
        <v>0</v>
      </c>
      <c r="F66" s="5" t="str">
        <f>IFERROR(__xludf.DUMMYFUNCTION("JOIN("", "",ARRAYFORMULA(IFERROR(VLOOKUP(VALUE(TRIM(SPLIT(D66,"",""))), QUERY(goles!A:C,""select A, sum(C) where B='""&amp;A66&amp;""' group by A""),2,FALSE),0)))"),"0")</f>
        <v>0</v>
      </c>
      <c r="G66" s="5" t="s">
        <v>410</v>
      </c>
      <c r="H66" s="5" t="s">
        <v>22</v>
      </c>
      <c r="I66" s="7">
        <v>27994.0</v>
      </c>
      <c r="J66" s="6" t="s">
        <v>411</v>
      </c>
      <c r="K66" s="5" t="s">
        <v>35</v>
      </c>
      <c r="L66" s="5" t="s">
        <v>35</v>
      </c>
      <c r="M66" s="5" t="s">
        <v>25</v>
      </c>
      <c r="N66" s="9" t="s">
        <v>36</v>
      </c>
      <c r="O66" s="9" t="s">
        <v>37</v>
      </c>
      <c r="P66" s="10">
        <v>-34.89453803</v>
      </c>
      <c r="Q66" s="10">
        <v>-56.15278107</v>
      </c>
      <c r="R66" s="14" t="s">
        <v>412</v>
      </c>
      <c r="S66" s="14" t="s">
        <v>413</v>
      </c>
      <c r="T66" s="12"/>
      <c r="U66" s="12"/>
    </row>
    <row r="67">
      <c r="A67" s="5" t="s">
        <v>414</v>
      </c>
      <c r="B67" s="5" t="s">
        <v>31</v>
      </c>
      <c r="C67" s="6">
        <v>2.0</v>
      </c>
      <c r="D67" s="6" t="s">
        <v>32</v>
      </c>
      <c r="E67" s="5" t="str">
        <f>IFERROR(__xludf.DUMMYFUNCTION("TEXTJOIN("", "",TRUE,ARRAYFORMULA(IF(COUNTIFS(capitanes!A:A,SPLIT(D67,"",""),capitanes!B:B,A67)&gt;0,1,0)))"),"0, 0")</f>
        <v>0, 0</v>
      </c>
      <c r="F67" s="5" t="str">
        <f>IFERROR(__xludf.DUMMYFUNCTION("JOIN("", "",ARRAYFORMULA(IFERROR(VLOOKUP(VALUE(TRIM(SPLIT(D67,"",""))), QUERY(goles!A:C,""select A, sum(C) where B='""&amp;A67&amp;""' group by A""),2,FALSE),0)))"),"0, 0")</f>
        <v>0, 0</v>
      </c>
      <c r="G67" s="5" t="s">
        <v>415</v>
      </c>
      <c r="H67" s="5" t="s">
        <v>179</v>
      </c>
      <c r="I67" s="7">
        <v>35998.0</v>
      </c>
      <c r="J67" s="6" t="s">
        <v>416</v>
      </c>
      <c r="K67" s="5" t="s">
        <v>35</v>
      </c>
      <c r="L67" s="5" t="s">
        <v>35</v>
      </c>
      <c r="M67" s="5" t="s">
        <v>25</v>
      </c>
      <c r="N67" s="9" t="s">
        <v>36</v>
      </c>
      <c r="O67" s="9" t="s">
        <v>37</v>
      </c>
      <c r="P67" s="10">
        <v>-34.89453803</v>
      </c>
      <c r="Q67" s="10">
        <v>-56.15278107</v>
      </c>
      <c r="R67" s="14" t="s">
        <v>417</v>
      </c>
      <c r="S67" s="14" t="s">
        <v>418</v>
      </c>
      <c r="T67" s="12"/>
      <c r="U67" s="12"/>
    </row>
    <row r="68">
      <c r="A68" s="16" t="s">
        <v>419</v>
      </c>
      <c r="B68" s="16" t="s">
        <v>20</v>
      </c>
      <c r="C68" s="16">
        <v>1.0</v>
      </c>
      <c r="D68" s="16">
        <v>2026.0</v>
      </c>
      <c r="E68" s="5" t="str">
        <f>IFERROR(__xludf.DUMMYFUNCTION("TEXTJOIN("", "",TRUE,ARRAYFORMULA(IF(COUNTIFS(capitanes!A:A,SPLIT(D68,"",""),capitanes!B:B,A68)&gt;0,1,0)))"),"0")</f>
        <v>0</v>
      </c>
      <c r="F68" s="5" t="str">
        <f>IFERROR(__xludf.DUMMYFUNCTION("JOIN("", "",ARRAYFORMULA(IFERROR(VLOOKUP(VALUE(TRIM(SPLIT(D68,"",""))), QUERY(goles!A:C,""select A, sum(C) where B='""&amp;A68&amp;""' group by A""),2,FALSE),0)))"),"0")</f>
        <v>0</v>
      </c>
      <c r="G68" s="16" t="s">
        <v>420</v>
      </c>
      <c r="H68" s="16" t="s">
        <v>227</v>
      </c>
      <c r="I68" s="17">
        <v>35976.0</v>
      </c>
      <c r="J68" s="16" t="s">
        <v>421</v>
      </c>
      <c r="K68" s="5" t="s">
        <v>35</v>
      </c>
      <c r="L68" s="5" t="s">
        <v>35</v>
      </c>
      <c r="M68" s="5" t="s">
        <v>25</v>
      </c>
      <c r="N68" s="9" t="s">
        <v>36</v>
      </c>
      <c r="O68" s="9" t="s">
        <v>37</v>
      </c>
      <c r="P68" s="10">
        <v>-34.89453803</v>
      </c>
      <c r="Q68" s="10">
        <v>-56.15278107</v>
      </c>
      <c r="R68" s="19" t="s">
        <v>422</v>
      </c>
      <c r="S68" s="19" t="s">
        <v>423</v>
      </c>
      <c r="T68" s="12"/>
      <c r="U68" s="12"/>
    </row>
    <row r="69">
      <c r="A69" s="5" t="s">
        <v>424</v>
      </c>
      <c r="B69" s="5" t="s">
        <v>46</v>
      </c>
      <c r="C69" s="6">
        <v>1.0</v>
      </c>
      <c r="D69" s="6">
        <v>1990.0</v>
      </c>
      <c r="E69" s="5" t="str">
        <f>IFERROR(__xludf.DUMMYFUNCTION("TEXTJOIN("", "",TRUE,ARRAYFORMULA(IF(COUNTIFS(capitanes!A:A,SPLIT(D69,"",""),capitanes!B:B,A69)&gt;0,1,0)))"),"0")</f>
        <v>0</v>
      </c>
      <c r="F69" s="5" t="str">
        <f>IFERROR(__xludf.DUMMYFUNCTION("JOIN("", "",ARRAYFORMULA(IFERROR(VLOOKUP(VALUE(TRIM(SPLIT(D69,"",""))), QUERY(goles!A:C,""select A, sum(C) where B='""&amp;A69&amp;""' group by A""),2,FALSE),0)))"),"0")</f>
        <v>0</v>
      </c>
      <c r="G69" s="5" t="s">
        <v>59</v>
      </c>
      <c r="H69" s="5" t="s">
        <v>25</v>
      </c>
      <c r="I69" s="7">
        <v>21823.0</v>
      </c>
      <c r="J69" s="6" t="s">
        <v>425</v>
      </c>
      <c r="K69" s="5" t="s">
        <v>244</v>
      </c>
      <c r="L69" s="5" t="s">
        <v>244</v>
      </c>
      <c r="M69" s="5" t="s">
        <v>25</v>
      </c>
      <c r="N69" s="9" t="s">
        <v>245</v>
      </c>
      <c r="O69" s="9" t="s">
        <v>246</v>
      </c>
      <c r="P69" s="10">
        <v>-34.48659184</v>
      </c>
      <c r="Q69" s="10">
        <v>-54.32456579</v>
      </c>
      <c r="R69" s="14" t="s">
        <v>426</v>
      </c>
      <c r="S69" s="14" t="s">
        <v>427</v>
      </c>
      <c r="T69" s="12"/>
      <c r="U69" s="12"/>
    </row>
    <row r="70">
      <c r="A70" s="5" t="s">
        <v>428</v>
      </c>
      <c r="B70" s="5" t="s">
        <v>117</v>
      </c>
      <c r="C70" s="6">
        <v>2.0</v>
      </c>
      <c r="D70" s="5" t="s">
        <v>122</v>
      </c>
      <c r="E70" s="5" t="str">
        <f>IFERROR(__xludf.DUMMYFUNCTION("TEXTJOIN("", "",TRUE,ARRAYFORMULA(IF(COUNTIFS(capitanes!A:A,SPLIT(D70,"",""),capitanes!B:B,A70)&gt;0,1,0)))"),"0, 0")</f>
        <v>0, 0</v>
      </c>
      <c r="F70" s="5" t="str">
        <f>IFERROR(__xludf.DUMMYFUNCTION("JOIN("", "",ARRAYFORMULA(IFERROR(VLOOKUP(VALUE(TRIM(SPLIT(D70,"",""))), QUERY(goles!A:C,""select A, sum(C) where B='""&amp;A70&amp;""' group by A""),2,FALSE),0)))"),"0, 0")</f>
        <v>0, 0</v>
      </c>
      <c r="G70" s="5" t="s">
        <v>54</v>
      </c>
      <c r="H70" s="5" t="s">
        <v>25</v>
      </c>
      <c r="I70" s="7">
        <v>21797.0</v>
      </c>
      <c r="J70" s="8">
        <v>21649.0</v>
      </c>
      <c r="K70" s="5" t="s">
        <v>35</v>
      </c>
      <c r="L70" s="5" t="s">
        <v>35</v>
      </c>
      <c r="M70" s="5" t="s">
        <v>25</v>
      </c>
      <c r="N70" s="9" t="s">
        <v>36</v>
      </c>
      <c r="O70" s="9" t="s">
        <v>37</v>
      </c>
      <c r="P70" s="10">
        <v>-34.89453803</v>
      </c>
      <c r="Q70" s="10">
        <v>-56.15278107</v>
      </c>
      <c r="R70" s="5" t="s">
        <v>429</v>
      </c>
      <c r="S70" s="14" t="s">
        <v>430</v>
      </c>
      <c r="T70" s="12"/>
      <c r="U70" s="12"/>
    </row>
    <row r="71">
      <c r="A71" s="5" t="s">
        <v>431</v>
      </c>
      <c r="B71" s="5" t="s">
        <v>20</v>
      </c>
      <c r="C71" s="6">
        <v>1.0</v>
      </c>
      <c r="D71" s="6">
        <v>1974.0</v>
      </c>
      <c r="E71" s="5" t="str">
        <f>IFERROR(__xludf.DUMMYFUNCTION("TEXTJOIN("", "",TRUE,ARRAYFORMULA(IF(COUNTIFS(capitanes!A:A,SPLIT(D71,"",""),capitanes!B:B,A71)&gt;0,1,0)))"),"0")</f>
        <v>0</v>
      </c>
      <c r="F71" s="5" t="str">
        <f>IFERROR(__xludf.DUMMYFUNCTION("JOIN("", "",ARRAYFORMULA(IFERROR(VLOOKUP(VALUE(TRIM(SPLIT(D71,"",""))), QUERY(goles!A:C,""select A, sum(C) where B='""&amp;A71&amp;""' group by A""),2,FALSE),0)))"),"0")</f>
        <v>0</v>
      </c>
      <c r="G71" s="5" t="s">
        <v>54</v>
      </c>
      <c r="H71" s="5" t="s">
        <v>25</v>
      </c>
      <c r="I71" s="7">
        <v>19026.0</v>
      </c>
      <c r="J71" s="8">
        <v>19026.0</v>
      </c>
      <c r="K71" s="5" t="s">
        <v>35</v>
      </c>
      <c r="L71" s="5" t="s">
        <v>35</v>
      </c>
      <c r="M71" s="5" t="s">
        <v>25</v>
      </c>
      <c r="N71" s="9" t="s">
        <v>36</v>
      </c>
      <c r="O71" s="9" t="s">
        <v>37</v>
      </c>
      <c r="P71" s="10">
        <v>-34.89453803</v>
      </c>
      <c r="Q71" s="10">
        <v>-56.15278107</v>
      </c>
      <c r="R71" s="14" t="s">
        <v>432</v>
      </c>
      <c r="S71" s="14" t="s">
        <v>433</v>
      </c>
      <c r="T71" s="12"/>
      <c r="U71" s="12"/>
    </row>
    <row r="72">
      <c r="A72" s="5" t="s">
        <v>434</v>
      </c>
      <c r="B72" s="5" t="s">
        <v>117</v>
      </c>
      <c r="C72" s="6">
        <v>5.0</v>
      </c>
      <c r="D72" s="5" t="s">
        <v>435</v>
      </c>
      <c r="E72" s="5" t="str">
        <f>IFERROR(__xludf.DUMMYFUNCTION("TEXTJOIN("", "",TRUE,ARRAYFORMULA(IF(COUNTIFS(capitanes!A:A,SPLIT(D72,"",""),capitanes!B:B,A72)&gt;0,1,0)))"),"0, 0, 0, 0, 0")</f>
        <v>0, 0, 0, 0, 0</v>
      </c>
      <c r="F72" s="5" t="str">
        <f>IFERROR(__xludf.DUMMYFUNCTION("JOIN("", "",ARRAYFORMULA(IFERROR(VLOOKUP(VALUE(TRIM(SPLIT(D72,"",""))), QUERY(goles!A:C,""select A, sum(C) where B='""&amp;A72&amp;""' group by A""),2,FALSE),0)))"),"0, 0, 0, 0, 0")</f>
        <v>0, 0, 0, 0, 0</v>
      </c>
      <c r="G72" s="5" t="s">
        <v>436</v>
      </c>
      <c r="H72" s="5" t="s">
        <v>437</v>
      </c>
      <c r="I72" s="7">
        <v>31579.0</v>
      </c>
      <c r="J72" s="6" t="s">
        <v>438</v>
      </c>
      <c r="K72" s="5" t="s">
        <v>439</v>
      </c>
      <c r="L72" s="20"/>
      <c r="M72" s="5" t="s">
        <v>136</v>
      </c>
      <c r="N72" s="9" t="s">
        <v>440</v>
      </c>
      <c r="O72" s="9" t="s">
        <v>441</v>
      </c>
      <c r="P72" s="21"/>
      <c r="Q72" s="21"/>
      <c r="R72" s="14" t="s">
        <v>442</v>
      </c>
      <c r="S72" s="14" t="s">
        <v>443</v>
      </c>
      <c r="T72" s="12"/>
      <c r="U72" s="12"/>
    </row>
    <row r="73">
      <c r="A73" s="5" t="s">
        <v>444</v>
      </c>
      <c r="B73" s="5" t="s">
        <v>46</v>
      </c>
      <c r="C73" s="6">
        <v>1.0</v>
      </c>
      <c r="D73" s="6">
        <v>1970.0</v>
      </c>
      <c r="E73" s="5" t="str">
        <f>IFERROR(__xludf.DUMMYFUNCTION("TEXTJOIN("", "",TRUE,ARRAYFORMULA(IF(COUNTIFS(capitanes!A:A,SPLIT(D73,"",""),capitanes!B:B,A73)&gt;0,1,0)))"),"0")</f>
        <v>0</v>
      </c>
      <c r="F73" s="5" t="str">
        <f>IFERROR(__xludf.DUMMYFUNCTION("JOIN("", "",ARRAYFORMULA(IFERROR(VLOOKUP(VALUE(TRIM(SPLIT(D73,"",""))), QUERY(goles!A:C,""select A, sum(C) where B='""&amp;A73&amp;""' group by A""),2,FALSE),0)))"),"0")</f>
        <v>0</v>
      </c>
      <c r="G73" s="5" t="s">
        <v>342</v>
      </c>
      <c r="H73" s="5" t="s">
        <v>25</v>
      </c>
      <c r="I73" s="7">
        <v>16072.0</v>
      </c>
      <c r="J73" s="8">
        <v>16072.0</v>
      </c>
      <c r="K73" s="5" t="s">
        <v>35</v>
      </c>
      <c r="L73" s="5" t="s">
        <v>35</v>
      </c>
      <c r="M73" s="5" t="s">
        <v>25</v>
      </c>
      <c r="N73" s="9" t="s">
        <v>36</v>
      </c>
      <c r="O73" s="9" t="s">
        <v>37</v>
      </c>
      <c r="P73" s="10">
        <v>-34.89453803</v>
      </c>
      <c r="Q73" s="10">
        <v>-56.15278107</v>
      </c>
      <c r="R73" s="11" t="s">
        <v>445</v>
      </c>
      <c r="S73" s="14" t="s">
        <v>446</v>
      </c>
      <c r="T73" s="12"/>
      <c r="U73" s="12"/>
    </row>
    <row r="74">
      <c r="A74" s="5" t="s">
        <v>447</v>
      </c>
      <c r="B74" s="5" t="s">
        <v>31</v>
      </c>
      <c r="C74" s="6">
        <v>1.0</v>
      </c>
      <c r="D74" s="6">
        <v>1990.0</v>
      </c>
      <c r="E74" s="5" t="str">
        <f>IFERROR(__xludf.DUMMYFUNCTION("TEXTJOIN("", "",TRUE,ARRAYFORMULA(IF(COUNTIFS(capitanes!A:A,SPLIT(D74,"",""),capitanes!B:B,A74)&gt;0,1,0)))"),"0")</f>
        <v>0</v>
      </c>
      <c r="F74" s="5" t="str">
        <f>IFERROR(__xludf.DUMMYFUNCTION("JOIN("", "",ARRAYFORMULA(IFERROR(VLOOKUP(VALUE(TRIM(SPLIT(D74,"",""))), QUERY(goles!A:C,""select A, sum(C) where B='""&amp;A74&amp;""' group by A""),2,FALSE),0)))"),"0")</f>
        <v>0</v>
      </c>
      <c r="G74" s="5" t="s">
        <v>54</v>
      </c>
      <c r="H74" s="5" t="s">
        <v>25</v>
      </c>
      <c r="I74" s="7">
        <v>24850.0</v>
      </c>
      <c r="J74" s="6" t="s">
        <v>448</v>
      </c>
      <c r="K74" s="5" t="s">
        <v>35</v>
      </c>
      <c r="L74" s="5" t="s">
        <v>35</v>
      </c>
      <c r="M74" s="5" t="s">
        <v>25</v>
      </c>
      <c r="N74" s="9" t="s">
        <v>36</v>
      </c>
      <c r="O74" s="9" t="s">
        <v>37</v>
      </c>
      <c r="P74" s="10">
        <v>-34.89453803</v>
      </c>
      <c r="Q74" s="10">
        <v>-56.15278107</v>
      </c>
      <c r="R74" s="14" t="s">
        <v>449</v>
      </c>
      <c r="S74" s="14" t="s">
        <v>450</v>
      </c>
      <c r="T74" s="12"/>
      <c r="U74" s="12"/>
    </row>
    <row r="75">
      <c r="A75" s="5" t="s">
        <v>451</v>
      </c>
      <c r="B75" s="5" t="s">
        <v>31</v>
      </c>
      <c r="C75" s="6">
        <v>1.0</v>
      </c>
      <c r="D75" s="6">
        <v>2014.0</v>
      </c>
      <c r="E75" s="5" t="str">
        <f>IFERROR(__xludf.DUMMYFUNCTION("TEXTJOIN("", "",TRUE,ARRAYFORMULA(IF(COUNTIFS(capitanes!A:A,SPLIT(D75,"",""),capitanes!B:B,A75)&gt;0,1,0)))"),"0")</f>
        <v>0</v>
      </c>
      <c r="F75" s="5" t="str">
        <f>IFERROR(__xludf.DUMMYFUNCTION("JOIN("", "",ARRAYFORMULA(IFERROR(VLOOKUP(VALUE(TRIM(SPLIT(D75,"",""))), QUERY(goles!A:C,""select A, sum(C) where B='""&amp;A75&amp;""' group by A""),2,FALSE),0)))"),"0")</f>
        <v>0</v>
      </c>
      <c r="G75" s="5" t="s">
        <v>452</v>
      </c>
      <c r="H75" s="5" t="s">
        <v>453</v>
      </c>
      <c r="I75" s="7">
        <v>33209.0</v>
      </c>
      <c r="J75" s="8">
        <v>32916.0</v>
      </c>
      <c r="K75" s="5" t="s">
        <v>403</v>
      </c>
      <c r="L75" s="5" t="s">
        <v>404</v>
      </c>
      <c r="M75" s="5" t="s">
        <v>25</v>
      </c>
      <c r="N75" s="9" t="s">
        <v>405</v>
      </c>
      <c r="O75" s="9" t="s">
        <v>406</v>
      </c>
      <c r="P75" s="10">
        <v>-33.1193385</v>
      </c>
      <c r="Q75" s="10">
        <v>-58.31770138</v>
      </c>
      <c r="R75" s="5" t="s">
        <v>454</v>
      </c>
      <c r="S75" s="14" t="s">
        <v>455</v>
      </c>
      <c r="T75" s="12"/>
      <c r="U75" s="12"/>
    </row>
    <row r="76">
      <c r="A76" s="5" t="s">
        <v>456</v>
      </c>
      <c r="B76" s="5" t="s">
        <v>46</v>
      </c>
      <c r="C76" s="6">
        <v>1.0</v>
      </c>
      <c r="D76" s="6">
        <v>2018.0</v>
      </c>
      <c r="E76" s="5" t="str">
        <f>IFERROR(__xludf.DUMMYFUNCTION("TEXTJOIN("", "",TRUE,ARRAYFORMULA(IF(COUNTIFS(capitanes!A:A,SPLIT(D76,"",""),capitanes!B:B,A76)&gt;0,1,0)))"),"0")</f>
        <v>0</v>
      </c>
      <c r="F76" s="5" t="str">
        <f>IFERROR(__xludf.DUMMYFUNCTION("JOIN("", "",ARRAYFORMULA(IFERROR(VLOOKUP(VALUE(TRIM(SPLIT(D76,"",""))), QUERY(goles!A:C,""select A, sum(C) where B='""&amp;A76&amp;""' group by A""),2,FALSE),0)))"),"0")</f>
        <v>0</v>
      </c>
      <c r="G76" s="5" t="s">
        <v>313</v>
      </c>
      <c r="H76" s="5" t="s">
        <v>136</v>
      </c>
      <c r="I76" s="7">
        <v>34398.0</v>
      </c>
      <c r="J76" s="8">
        <v>34457.0</v>
      </c>
      <c r="K76" s="5" t="s">
        <v>187</v>
      </c>
      <c r="L76" s="5" t="s">
        <v>187</v>
      </c>
      <c r="M76" s="5" t="s">
        <v>25</v>
      </c>
      <c r="N76" s="9" t="s">
        <v>188</v>
      </c>
      <c r="O76" s="9" t="s">
        <v>189</v>
      </c>
      <c r="P76" s="10">
        <v>-31.38663817</v>
      </c>
      <c r="Q76" s="10">
        <v>-57.93598627</v>
      </c>
      <c r="R76" s="5" t="s">
        <v>457</v>
      </c>
      <c r="S76" s="14" t="s">
        <v>458</v>
      </c>
      <c r="T76" s="12"/>
      <c r="U76" s="12"/>
    </row>
    <row r="77">
      <c r="A77" s="5" t="s">
        <v>459</v>
      </c>
      <c r="B77" s="5" t="s">
        <v>31</v>
      </c>
      <c r="C77" s="6">
        <v>1.0</v>
      </c>
      <c r="D77" s="6">
        <v>2002.0</v>
      </c>
      <c r="E77" s="5" t="str">
        <f>IFERROR(__xludf.DUMMYFUNCTION("TEXTJOIN("", "",TRUE,ARRAYFORMULA(IF(COUNTIFS(capitanes!A:A,SPLIT(D77,"",""),capitanes!B:B,A77)&gt;0,1,0)))"),"0")</f>
        <v>0</v>
      </c>
      <c r="F77" s="5" t="str">
        <f>IFERROR(__xludf.DUMMYFUNCTION("JOIN("", "",ARRAYFORMULA(IFERROR(VLOOKUP(VALUE(TRIM(SPLIT(D77,"",""))), QUERY(goles!A:C,""select A, sum(C) where B='""&amp;A77&amp;""' group by A""),2,FALSE),0)))"),"0")</f>
        <v>0</v>
      </c>
      <c r="G77" s="5" t="s">
        <v>460</v>
      </c>
      <c r="H77" s="5" t="s">
        <v>22</v>
      </c>
      <c r="I77" s="7">
        <v>27447.0</v>
      </c>
      <c r="J77" s="6" t="s">
        <v>461</v>
      </c>
      <c r="K77" s="5" t="s">
        <v>462</v>
      </c>
      <c r="L77" s="5" t="s">
        <v>74</v>
      </c>
      <c r="M77" s="5" t="s">
        <v>25</v>
      </c>
      <c r="N77" s="9" t="s">
        <v>463</v>
      </c>
      <c r="O77" s="9" t="s">
        <v>464</v>
      </c>
      <c r="P77" s="10">
        <v>-33.87366065</v>
      </c>
      <c r="Q77" s="10">
        <v>-58.40549768</v>
      </c>
      <c r="R77" s="14" t="s">
        <v>465</v>
      </c>
      <c r="S77" s="14" t="s">
        <v>466</v>
      </c>
      <c r="T77" s="12"/>
      <c r="U77" s="12"/>
    </row>
    <row r="78">
      <c r="A78" s="5" t="s">
        <v>467</v>
      </c>
      <c r="B78" s="5" t="s">
        <v>31</v>
      </c>
      <c r="C78" s="6">
        <v>3.0</v>
      </c>
      <c r="D78" s="5" t="s">
        <v>468</v>
      </c>
      <c r="E78" s="5" t="str">
        <f>IFERROR(__xludf.DUMMYFUNCTION("TEXTJOIN("", "",TRUE,ARRAYFORMULA(IF(COUNTIFS(capitanes!A:A,SPLIT(D78,"",""),capitanes!B:B,A78)&gt;0,1,0)))"),"0, 0, 0")</f>
        <v>0, 0, 0</v>
      </c>
      <c r="F78" s="5" t="str">
        <f>IFERROR(__xludf.DUMMYFUNCTION("JOIN("", "",ARRAYFORMULA(IFERROR(VLOOKUP(VALUE(TRIM(SPLIT(D78,"",""))), QUERY(goles!A:C,""select A, sum(C) where B='""&amp;A78&amp;""' group by A""),2,FALSE),0)))"),"0, 2, 0")</f>
        <v>0, 2, 0</v>
      </c>
      <c r="G78" s="5" t="s">
        <v>469</v>
      </c>
      <c r="H78" s="5" t="s">
        <v>470</v>
      </c>
      <c r="I78" s="7">
        <v>34486.0</v>
      </c>
      <c r="J78" s="8">
        <v>34340.0</v>
      </c>
      <c r="K78" s="5" t="s">
        <v>471</v>
      </c>
      <c r="L78" s="5" t="s">
        <v>404</v>
      </c>
      <c r="M78" s="5" t="s">
        <v>25</v>
      </c>
      <c r="N78" s="9" t="s">
        <v>472</v>
      </c>
      <c r="O78" s="9" t="s">
        <v>473</v>
      </c>
      <c r="P78" s="10">
        <v>-32.97700951</v>
      </c>
      <c r="Q78" s="10">
        <v>-58.05159506</v>
      </c>
      <c r="R78" s="14" t="s">
        <v>474</v>
      </c>
      <c r="S78" s="14" t="s">
        <v>475</v>
      </c>
      <c r="T78" s="12"/>
      <c r="U78" s="12"/>
    </row>
    <row r="79">
      <c r="A79" s="5" t="s">
        <v>476</v>
      </c>
      <c r="B79" s="5" t="s">
        <v>31</v>
      </c>
      <c r="C79" s="6">
        <v>1.0</v>
      </c>
      <c r="D79" s="6">
        <v>2002.0</v>
      </c>
      <c r="E79" s="5" t="str">
        <f>IFERROR(__xludf.DUMMYFUNCTION("TEXTJOIN("", "",TRUE,ARRAYFORMULA(IF(COUNTIFS(capitanes!A:A,SPLIT(D79,"",""),capitanes!B:B,A79)&gt;0,1,0)))"),"0")</f>
        <v>0</v>
      </c>
      <c r="F79" s="5" t="str">
        <f>IFERROR(__xludf.DUMMYFUNCTION("JOIN("", "",ARRAYFORMULA(IFERROR(VLOOKUP(VALUE(TRIM(SPLIT(D79,"",""))), QUERY(goles!A:C,""select A, sum(C) where B='""&amp;A79&amp;""' group by A""),2,FALSE),0)))"),"0")</f>
        <v>0</v>
      </c>
      <c r="G79" s="5" t="s">
        <v>477</v>
      </c>
      <c r="H79" s="5" t="s">
        <v>227</v>
      </c>
      <c r="I79" s="7">
        <v>27960.0</v>
      </c>
      <c r="J79" s="6" t="s">
        <v>478</v>
      </c>
      <c r="K79" s="5" t="s">
        <v>187</v>
      </c>
      <c r="L79" s="5" t="s">
        <v>187</v>
      </c>
      <c r="M79" s="5" t="s">
        <v>25</v>
      </c>
      <c r="N79" s="9" t="s">
        <v>188</v>
      </c>
      <c r="O79" s="9" t="s">
        <v>189</v>
      </c>
      <c r="P79" s="10">
        <v>-31.38663817</v>
      </c>
      <c r="Q79" s="10">
        <v>-57.93598627</v>
      </c>
      <c r="R79" s="14" t="s">
        <v>479</v>
      </c>
      <c r="S79" s="14" t="s">
        <v>480</v>
      </c>
      <c r="T79" s="12"/>
      <c r="U79" s="12"/>
    </row>
    <row r="80">
      <c r="A80" s="5" t="s">
        <v>481</v>
      </c>
      <c r="B80" s="5" t="s">
        <v>46</v>
      </c>
      <c r="C80" s="6">
        <v>1.0</v>
      </c>
      <c r="D80" s="6">
        <v>2002.0</v>
      </c>
      <c r="E80" s="5" t="str">
        <f>IFERROR(__xludf.DUMMYFUNCTION("TEXTJOIN("", "",TRUE,ARRAYFORMULA(IF(COUNTIFS(capitanes!A:A,SPLIT(D80,"",""),capitanes!B:B,A80)&gt;0,1,0)))"),"0")</f>
        <v>0</v>
      </c>
      <c r="F80" s="5" t="str">
        <f>IFERROR(__xludf.DUMMYFUNCTION("JOIN("", "",ARRAYFORMULA(IFERROR(VLOOKUP(VALUE(TRIM(SPLIT(D80,"",""))), QUERY(goles!A:C,""select A, sum(C) where B='""&amp;A80&amp;""' group by A""),2,FALSE),0)))"),"0")</f>
        <v>0</v>
      </c>
      <c r="G80" s="5" t="s">
        <v>96</v>
      </c>
      <c r="H80" s="5" t="s">
        <v>22</v>
      </c>
      <c r="I80" s="7">
        <v>29137.0</v>
      </c>
      <c r="J80" s="8">
        <v>29108.0</v>
      </c>
      <c r="K80" s="5" t="s">
        <v>35</v>
      </c>
      <c r="L80" s="5" t="s">
        <v>35</v>
      </c>
      <c r="M80" s="5" t="s">
        <v>25</v>
      </c>
      <c r="N80" s="9" t="s">
        <v>36</v>
      </c>
      <c r="O80" s="9" t="s">
        <v>37</v>
      </c>
      <c r="P80" s="10">
        <v>-34.89453803</v>
      </c>
      <c r="Q80" s="10">
        <v>-56.15278107</v>
      </c>
      <c r="R80" s="14" t="s">
        <v>482</v>
      </c>
      <c r="S80" s="14" t="s">
        <v>483</v>
      </c>
      <c r="T80" s="12"/>
      <c r="U80" s="12"/>
    </row>
    <row r="81">
      <c r="A81" s="5" t="s">
        <v>484</v>
      </c>
      <c r="B81" s="5" t="s">
        <v>20</v>
      </c>
      <c r="C81" s="6">
        <v>1.0</v>
      </c>
      <c r="D81" s="6">
        <v>1962.0</v>
      </c>
      <c r="E81" s="5" t="str">
        <f>IFERROR(__xludf.DUMMYFUNCTION("TEXTJOIN("", "",TRUE,ARRAYFORMULA(IF(COUNTIFS(capitanes!A:A,SPLIT(D81,"",""),capitanes!B:B,A81)&gt;0,1,0)))"),"0")</f>
        <v>0</v>
      </c>
      <c r="F81" s="5" t="str">
        <f>IFERROR(__xludf.DUMMYFUNCTION("JOIN("", "",ARRAYFORMULA(IFERROR(VLOOKUP(VALUE(TRIM(SPLIT(D81,"",""))), QUERY(goles!A:C,""select A, sum(C) where B='""&amp;A81&amp;""' group by A""),2,FALSE),0)))"),"0")</f>
        <v>0</v>
      </c>
      <c r="G81" s="5" t="s">
        <v>59</v>
      </c>
      <c r="H81" s="5" t="s">
        <v>25</v>
      </c>
      <c r="I81" s="7">
        <v>13264.0</v>
      </c>
      <c r="J81" s="6" t="s">
        <v>485</v>
      </c>
      <c r="K81" s="5" t="s">
        <v>35</v>
      </c>
      <c r="L81" s="5" t="s">
        <v>35</v>
      </c>
      <c r="M81" s="5" t="s">
        <v>25</v>
      </c>
      <c r="N81" s="9" t="s">
        <v>36</v>
      </c>
      <c r="O81" s="9" t="s">
        <v>37</v>
      </c>
      <c r="P81" s="10">
        <v>-34.89453803</v>
      </c>
      <c r="Q81" s="10">
        <v>-56.15278107</v>
      </c>
      <c r="R81" s="14" t="s">
        <v>486</v>
      </c>
      <c r="S81" s="14" t="s">
        <v>487</v>
      </c>
      <c r="T81" s="12"/>
      <c r="U81" s="12"/>
    </row>
    <row r="82">
      <c r="A82" s="5" t="s">
        <v>488</v>
      </c>
      <c r="B82" s="5" t="s">
        <v>46</v>
      </c>
      <c r="C82" s="6">
        <v>3.0</v>
      </c>
      <c r="D82" s="5" t="s">
        <v>468</v>
      </c>
      <c r="E82" s="5" t="str">
        <f>IFERROR(__xludf.DUMMYFUNCTION("TEXTJOIN("", "",TRUE,ARRAYFORMULA(IF(COUNTIFS(capitanes!A:A,SPLIT(D82,"",""),capitanes!B:B,A82)&gt;0,1,0)))"),"0, 0, 0")</f>
        <v>0, 0, 0</v>
      </c>
      <c r="F82" s="5" t="str">
        <f>IFERROR(__xludf.DUMMYFUNCTION("JOIN("", "",ARRAYFORMULA(IFERROR(VLOOKUP(VALUE(TRIM(SPLIT(D82,"",""))), QUERY(goles!A:C,""select A, sum(C) where B='""&amp;A82&amp;""' group by A""),2,FALSE),0)))"),"0, 0, 0")</f>
        <v>0, 0, 0</v>
      </c>
      <c r="G82" s="5" t="s">
        <v>489</v>
      </c>
      <c r="H82" s="5" t="s">
        <v>490</v>
      </c>
      <c r="I82" s="7">
        <v>34052.0</v>
      </c>
      <c r="J82" s="6" t="s">
        <v>491</v>
      </c>
      <c r="K82" s="5" t="s">
        <v>35</v>
      </c>
      <c r="L82" s="5" t="s">
        <v>35</v>
      </c>
      <c r="M82" s="5" t="s">
        <v>25</v>
      </c>
      <c r="N82" s="9" t="s">
        <v>36</v>
      </c>
      <c r="O82" s="9" t="s">
        <v>37</v>
      </c>
      <c r="P82" s="10">
        <v>-34.89453803</v>
      </c>
      <c r="Q82" s="10">
        <v>-56.15278107</v>
      </c>
      <c r="R82" s="14" t="s">
        <v>492</v>
      </c>
      <c r="S82" s="14" t="s">
        <v>493</v>
      </c>
      <c r="T82" s="12"/>
      <c r="U82" s="12"/>
    </row>
    <row r="83">
      <c r="A83" s="5" t="s">
        <v>494</v>
      </c>
      <c r="B83" s="5" t="s">
        <v>46</v>
      </c>
      <c r="C83" s="6">
        <v>1.0</v>
      </c>
      <c r="D83" s="6">
        <v>1974.0</v>
      </c>
      <c r="E83" s="5" t="str">
        <f>IFERROR(__xludf.DUMMYFUNCTION("TEXTJOIN("", "",TRUE,ARRAYFORMULA(IF(COUNTIFS(capitanes!A:A,SPLIT(D83,"",""),capitanes!B:B,A83)&gt;0,1,0)))"),"0")</f>
        <v>0</v>
      </c>
      <c r="F83" s="5" t="str">
        <f>IFERROR(__xludf.DUMMYFUNCTION("JOIN("", "",ARRAYFORMULA(IFERROR(VLOOKUP(VALUE(TRIM(SPLIT(D83,"",""))), QUERY(goles!A:C,""select A, sum(C) where B='""&amp;A83&amp;""' group by A""),2,FALSE),0)))"),"0")</f>
        <v>0</v>
      </c>
      <c r="G83" s="5" t="s">
        <v>495</v>
      </c>
      <c r="H83" s="5" t="s">
        <v>25</v>
      </c>
      <c r="I83" s="7">
        <v>17646.0</v>
      </c>
      <c r="J83" s="6" t="s">
        <v>496</v>
      </c>
      <c r="K83" s="5" t="s">
        <v>35</v>
      </c>
      <c r="L83" s="5" t="s">
        <v>35</v>
      </c>
      <c r="M83" s="5" t="s">
        <v>25</v>
      </c>
      <c r="N83" s="9" t="s">
        <v>36</v>
      </c>
      <c r="O83" s="9" t="s">
        <v>37</v>
      </c>
      <c r="P83" s="10">
        <v>-34.89453803</v>
      </c>
      <c r="Q83" s="10">
        <v>-56.15278107</v>
      </c>
      <c r="R83" s="14" t="s">
        <v>497</v>
      </c>
      <c r="S83" s="14" t="s">
        <v>498</v>
      </c>
      <c r="T83" s="12"/>
      <c r="U83" s="12"/>
    </row>
    <row r="84">
      <c r="A84" s="5" t="s">
        <v>499</v>
      </c>
      <c r="B84" s="5" t="s">
        <v>117</v>
      </c>
      <c r="C84" s="6">
        <v>1.0</v>
      </c>
      <c r="D84" s="6">
        <v>1974.0</v>
      </c>
      <c r="E84" s="5" t="str">
        <f>IFERROR(__xludf.DUMMYFUNCTION("TEXTJOIN("", "",TRUE,ARRAYFORMULA(IF(COUNTIFS(capitanes!A:A,SPLIT(D84,"",""),capitanes!B:B,A84)&gt;0,1,0)))"),"0")</f>
        <v>0</v>
      </c>
      <c r="F84" s="5" t="str">
        <f>IFERROR(__xludf.DUMMYFUNCTION("JOIN("", "",ARRAYFORMULA(IFERROR(VLOOKUP(VALUE(TRIM(SPLIT(D84,"",""))), QUERY(goles!A:C,""select A, sum(C) where B='""&amp;A84&amp;""' group by A""),2,FALSE),0)))"),"0")</f>
        <v>0</v>
      </c>
      <c r="G84" s="5" t="s">
        <v>500</v>
      </c>
      <c r="H84" s="5" t="s">
        <v>25</v>
      </c>
      <c r="I84" s="7">
        <v>19040.0</v>
      </c>
      <c r="J84" s="6" t="s">
        <v>501</v>
      </c>
      <c r="K84" s="5" t="s">
        <v>35</v>
      </c>
      <c r="L84" s="5" t="s">
        <v>35</v>
      </c>
      <c r="M84" s="5" t="s">
        <v>25</v>
      </c>
      <c r="N84" s="9" t="s">
        <v>36</v>
      </c>
      <c r="O84" s="9" t="s">
        <v>37</v>
      </c>
      <c r="P84" s="10">
        <v>-34.89453803</v>
      </c>
      <c r="Q84" s="10">
        <v>-56.15278107</v>
      </c>
      <c r="R84" s="5" t="s">
        <v>502</v>
      </c>
      <c r="S84" s="14" t="s">
        <v>503</v>
      </c>
      <c r="T84" s="12"/>
      <c r="U84" s="12"/>
    </row>
    <row r="85">
      <c r="A85" s="5" t="s">
        <v>504</v>
      </c>
      <c r="B85" s="5" t="s">
        <v>46</v>
      </c>
      <c r="C85" s="6">
        <v>1.0</v>
      </c>
      <c r="D85" s="6">
        <v>2002.0</v>
      </c>
      <c r="E85" s="5" t="str">
        <f>IFERROR(__xludf.DUMMYFUNCTION("TEXTJOIN("", "",TRUE,ARRAYFORMULA(IF(COUNTIFS(capitanes!A:A,SPLIT(D85,"",""),capitanes!B:B,A85)&gt;0,1,0)))"),"0")</f>
        <v>0</v>
      </c>
      <c r="F85" s="5" t="str">
        <f>IFERROR(__xludf.DUMMYFUNCTION("JOIN("", "",ARRAYFORMULA(IFERROR(VLOOKUP(VALUE(TRIM(SPLIT(D85,"",""))), QUERY(goles!A:C,""select A, sum(C) where B='""&amp;A85&amp;""' group by A""),2,FALSE),0)))"),"0")</f>
        <v>0</v>
      </c>
      <c r="G85" s="5" t="s">
        <v>59</v>
      </c>
      <c r="H85" s="5" t="s">
        <v>25</v>
      </c>
      <c r="I85" s="7">
        <v>25967.0</v>
      </c>
      <c r="J85" s="8">
        <v>25994.0</v>
      </c>
      <c r="K85" s="5" t="s">
        <v>35</v>
      </c>
      <c r="L85" s="5" t="s">
        <v>35</v>
      </c>
      <c r="M85" s="5" t="s">
        <v>25</v>
      </c>
      <c r="N85" s="9" t="s">
        <v>36</v>
      </c>
      <c r="O85" s="9" t="s">
        <v>37</v>
      </c>
      <c r="P85" s="10">
        <v>-34.89453803</v>
      </c>
      <c r="Q85" s="10">
        <v>-56.15278107</v>
      </c>
      <c r="R85" s="14" t="s">
        <v>505</v>
      </c>
      <c r="S85" s="14" t="s">
        <v>506</v>
      </c>
      <c r="T85" s="12"/>
      <c r="U85" s="12"/>
    </row>
    <row r="86">
      <c r="A86" s="5" t="s">
        <v>507</v>
      </c>
      <c r="B86" s="5" t="s">
        <v>117</v>
      </c>
      <c r="C86" s="6">
        <v>1.0</v>
      </c>
      <c r="D86" s="6">
        <v>2002.0</v>
      </c>
      <c r="E86" s="5" t="str">
        <f>IFERROR(__xludf.DUMMYFUNCTION("TEXTJOIN("", "",TRUE,ARRAYFORMULA(IF(COUNTIFS(capitanes!A:A,SPLIT(D86,"",""),capitanes!B:B,A86)&gt;0,1,0)))"),"0")</f>
        <v>0</v>
      </c>
      <c r="F86" s="5" t="str">
        <f>IFERROR(__xludf.DUMMYFUNCTION("JOIN("", "",ARRAYFORMULA(IFERROR(VLOOKUP(VALUE(TRIM(SPLIT(D86,"",""))), QUERY(goles!A:C,""select A, sum(C) where B='""&amp;A86&amp;""' group by A""),2,FALSE),0)))"),"0")</f>
        <v>0</v>
      </c>
      <c r="G86" s="5" t="s">
        <v>59</v>
      </c>
      <c r="H86" s="5" t="s">
        <v>25</v>
      </c>
      <c r="I86" s="7">
        <v>28517.0</v>
      </c>
      <c r="J86" s="6" t="s">
        <v>508</v>
      </c>
      <c r="K86" s="5" t="s">
        <v>35</v>
      </c>
      <c r="L86" s="5" t="s">
        <v>35</v>
      </c>
      <c r="M86" s="5" t="s">
        <v>25</v>
      </c>
      <c r="N86" s="9" t="s">
        <v>36</v>
      </c>
      <c r="O86" s="9" t="s">
        <v>37</v>
      </c>
      <c r="P86" s="10">
        <v>-34.89453803</v>
      </c>
      <c r="Q86" s="10">
        <v>-56.15278107</v>
      </c>
      <c r="R86" s="5" t="s">
        <v>509</v>
      </c>
      <c r="S86" s="14" t="s">
        <v>510</v>
      </c>
      <c r="T86" s="12"/>
      <c r="U86" s="12"/>
    </row>
    <row r="87">
      <c r="A87" s="5" t="s">
        <v>511</v>
      </c>
      <c r="B87" s="5" t="s">
        <v>31</v>
      </c>
      <c r="C87" s="6">
        <v>1.0</v>
      </c>
      <c r="D87" s="6">
        <v>2002.0</v>
      </c>
      <c r="E87" s="5" t="str">
        <f>IFERROR(__xludf.DUMMYFUNCTION("TEXTJOIN("", "",TRUE,ARRAYFORMULA(IF(COUNTIFS(capitanes!A:A,SPLIT(D87,"",""),capitanes!B:B,A87)&gt;0,1,0)))"),"0")</f>
        <v>0</v>
      </c>
      <c r="F87" s="5" t="str">
        <f>IFERROR(__xludf.DUMMYFUNCTION("JOIN("", "",ARRAYFORMULA(IFERROR(VLOOKUP(VALUE(TRIM(SPLIT(D87,"",""))), QUERY(goles!A:C,""select A, sum(C) where B='""&amp;A87&amp;""' group by A""),2,FALSE),0)))"),"0")</f>
        <v>0</v>
      </c>
      <c r="G87" s="5" t="s">
        <v>59</v>
      </c>
      <c r="H87" s="5" t="s">
        <v>25</v>
      </c>
      <c r="I87" s="7">
        <v>28624.0</v>
      </c>
      <c r="J87" s="6" t="s">
        <v>512</v>
      </c>
      <c r="K87" s="5" t="s">
        <v>35</v>
      </c>
      <c r="L87" s="5" t="s">
        <v>35</v>
      </c>
      <c r="M87" s="5" t="s">
        <v>25</v>
      </c>
      <c r="N87" s="9" t="s">
        <v>36</v>
      </c>
      <c r="O87" s="9" t="s">
        <v>37</v>
      </c>
      <c r="P87" s="10">
        <v>-34.89453803</v>
      </c>
      <c r="Q87" s="10">
        <v>-56.15278107</v>
      </c>
      <c r="R87" s="14" t="s">
        <v>513</v>
      </c>
      <c r="S87" s="14" t="s">
        <v>514</v>
      </c>
      <c r="T87" s="12"/>
      <c r="U87" s="12"/>
    </row>
    <row r="88">
      <c r="A88" s="5" t="s">
        <v>515</v>
      </c>
      <c r="B88" s="5" t="s">
        <v>46</v>
      </c>
      <c r="C88" s="6">
        <v>1.0</v>
      </c>
      <c r="D88" s="6">
        <v>1930.0</v>
      </c>
      <c r="E88" s="5" t="str">
        <f>IFERROR(__xludf.DUMMYFUNCTION("TEXTJOIN("", "",TRUE,ARRAYFORMULA(IF(COUNTIFS(capitanes!A:A,SPLIT(D88,"",""),capitanes!B:B,A88)&gt;0,1,0)))"),"0")</f>
        <v>0</v>
      </c>
      <c r="F88" s="5" t="str">
        <f>IFERROR(__xludf.DUMMYFUNCTION("JOIN("", "",ARRAYFORMULA(IFERROR(VLOOKUP(VALUE(TRIM(SPLIT(D88,"",""))), QUERY(goles!A:C,""select A, sum(C) where B='""&amp;A88&amp;""' group by A""),2,FALSE),0)))"),"0")</f>
        <v>0</v>
      </c>
      <c r="G88" s="5" t="s">
        <v>59</v>
      </c>
      <c r="H88" s="5" t="s">
        <v>25</v>
      </c>
      <c r="I88" s="7">
        <v>1403.0</v>
      </c>
      <c r="J88" s="8">
        <v>1166.0</v>
      </c>
      <c r="K88" s="5" t="s">
        <v>516</v>
      </c>
      <c r="L88" s="5" t="s">
        <v>35</v>
      </c>
      <c r="M88" s="5" t="s">
        <v>25</v>
      </c>
      <c r="N88" s="9" t="s">
        <v>517</v>
      </c>
      <c r="O88" s="9" t="s">
        <v>518</v>
      </c>
      <c r="P88" s="10">
        <v>-34.89453803</v>
      </c>
      <c r="Q88" s="10">
        <v>-56.15278107</v>
      </c>
      <c r="R88" s="14" t="s">
        <v>519</v>
      </c>
      <c r="S88" s="14" t="s">
        <v>520</v>
      </c>
      <c r="T88" s="12"/>
      <c r="U88" s="12"/>
    </row>
    <row r="89">
      <c r="A89" s="5" t="s">
        <v>521</v>
      </c>
      <c r="B89" s="5" t="s">
        <v>20</v>
      </c>
      <c r="C89" s="6">
        <v>1.0</v>
      </c>
      <c r="D89" s="6">
        <v>1966.0</v>
      </c>
      <c r="E89" s="5" t="str">
        <f>IFERROR(__xludf.DUMMYFUNCTION("TEXTJOIN("", "",TRUE,ARRAYFORMULA(IF(COUNTIFS(capitanes!A:A,SPLIT(D89,"",""),capitanes!B:B,A89)&gt;0,1,0)))"),"0")</f>
        <v>0</v>
      </c>
      <c r="F89" s="5" t="str">
        <f>IFERROR(__xludf.DUMMYFUNCTION("JOIN("", "",ARRAYFORMULA(IFERROR(VLOOKUP(VALUE(TRIM(SPLIT(D89,"",""))), QUERY(goles!A:C,""select A, sum(C) where B='""&amp;A89&amp;""' group by A""),2,FALSE),0)))"),"0")</f>
        <v>0</v>
      </c>
      <c r="G89" s="5" t="s">
        <v>41</v>
      </c>
      <c r="H89" s="5" t="s">
        <v>25</v>
      </c>
      <c r="I89" s="7">
        <v>14576.0</v>
      </c>
      <c r="J89" s="6" t="s">
        <v>522</v>
      </c>
      <c r="K89" s="5" t="s">
        <v>35</v>
      </c>
      <c r="L89" s="5" t="s">
        <v>35</v>
      </c>
      <c r="M89" s="5" t="s">
        <v>25</v>
      </c>
      <c r="N89" s="9" t="s">
        <v>36</v>
      </c>
      <c r="O89" s="9" t="s">
        <v>37</v>
      </c>
      <c r="P89" s="10">
        <v>-34.89453803</v>
      </c>
      <c r="Q89" s="10">
        <v>-56.15278107</v>
      </c>
      <c r="R89" s="5" t="s">
        <v>523</v>
      </c>
      <c r="S89" s="14" t="s">
        <v>524</v>
      </c>
      <c r="T89" s="12"/>
      <c r="U89" s="12"/>
    </row>
    <row r="90">
      <c r="A90" s="5" t="s">
        <v>525</v>
      </c>
      <c r="B90" s="5" t="s">
        <v>117</v>
      </c>
      <c r="C90" s="6">
        <v>2.0</v>
      </c>
      <c r="D90" s="5" t="s">
        <v>526</v>
      </c>
      <c r="E90" s="5" t="str">
        <f>IFERROR(__xludf.DUMMYFUNCTION("TEXTJOIN("", "",TRUE,ARRAYFORMULA(IF(COUNTIFS(capitanes!A:A,SPLIT(D90,"",""),capitanes!B:B,A90)&gt;0,1,0)))"),"0, 0")</f>
        <v>0, 0</v>
      </c>
      <c r="F90" s="5" t="str">
        <f>IFERROR(__xludf.DUMMYFUNCTION("JOIN("", "",ARRAYFORMULA(IFERROR(VLOOKUP(VALUE(TRIM(SPLIT(D90,"",""))), QUERY(goles!A:C,""select A, sum(C) where B='""&amp;A90&amp;""' group by A""),2,FALSE),0)))"),"0, 0")</f>
        <v>0, 0</v>
      </c>
      <c r="G90" s="5" t="s">
        <v>527</v>
      </c>
      <c r="H90" s="5" t="s">
        <v>528</v>
      </c>
      <c r="I90" s="7">
        <v>16374.0</v>
      </c>
      <c r="J90" s="6" t="s">
        <v>529</v>
      </c>
      <c r="K90" s="5" t="s">
        <v>35</v>
      </c>
      <c r="L90" s="5" t="s">
        <v>35</v>
      </c>
      <c r="M90" s="5" t="s">
        <v>25</v>
      </c>
      <c r="N90" s="9" t="s">
        <v>36</v>
      </c>
      <c r="O90" s="9" t="s">
        <v>37</v>
      </c>
      <c r="P90" s="10">
        <v>-34.89453803</v>
      </c>
      <c r="Q90" s="10">
        <v>-56.15278107</v>
      </c>
      <c r="R90" s="5" t="s">
        <v>530</v>
      </c>
      <c r="S90" s="14" t="s">
        <v>531</v>
      </c>
      <c r="T90" s="12"/>
      <c r="U90" s="12"/>
    </row>
    <row r="91">
      <c r="A91" s="5" t="s">
        <v>532</v>
      </c>
      <c r="B91" s="5" t="s">
        <v>46</v>
      </c>
      <c r="C91" s="6">
        <v>1.0</v>
      </c>
      <c r="D91" s="6">
        <v>1930.0</v>
      </c>
      <c r="E91" s="5" t="str">
        <f>IFERROR(__xludf.DUMMYFUNCTION("TEXTJOIN("", "",TRUE,ARRAYFORMULA(IF(COUNTIFS(capitanes!A:A,SPLIT(D91,"",""),capitanes!B:B,A91)&gt;0,1,0)))"),"0")</f>
        <v>0</v>
      </c>
      <c r="F91" s="5" t="str">
        <f>IFERROR(__xludf.DUMMYFUNCTION("JOIN("", "",ARRAYFORMULA(IFERROR(VLOOKUP(VALUE(TRIM(SPLIT(D91,"",""))), QUERY(goles!A:C,""select A, sum(C) where B='""&amp;A91&amp;""' group by A""),2,FALSE),0)))"),"0")</f>
        <v>0</v>
      </c>
      <c r="G91" s="5" t="s">
        <v>54</v>
      </c>
      <c r="H91" s="5" t="s">
        <v>25</v>
      </c>
      <c r="I91" s="7">
        <v>2882.0</v>
      </c>
      <c r="J91" s="6" t="s">
        <v>533</v>
      </c>
      <c r="K91" s="5" t="s">
        <v>35</v>
      </c>
      <c r="L91" s="5" t="s">
        <v>35</v>
      </c>
      <c r="M91" s="5" t="s">
        <v>25</v>
      </c>
      <c r="N91" s="9" t="s">
        <v>36</v>
      </c>
      <c r="O91" s="9" t="s">
        <v>37</v>
      </c>
      <c r="P91" s="10">
        <v>-34.89453803</v>
      </c>
      <c r="Q91" s="10">
        <v>-56.15278107</v>
      </c>
      <c r="R91" s="14" t="s">
        <v>534</v>
      </c>
      <c r="S91" s="14" t="s">
        <v>535</v>
      </c>
      <c r="T91" s="12"/>
      <c r="U91" s="12"/>
    </row>
    <row r="92">
      <c r="A92" s="5" t="s">
        <v>536</v>
      </c>
      <c r="B92" s="5" t="s">
        <v>20</v>
      </c>
      <c r="C92" s="6">
        <v>2.0</v>
      </c>
      <c r="D92" s="5" t="s">
        <v>284</v>
      </c>
      <c r="E92" s="5" t="str">
        <f>IFERROR(__xludf.DUMMYFUNCTION("TEXTJOIN("", "",TRUE,ARRAYFORMULA(IF(COUNTIFS(capitanes!A:A,SPLIT(D92,"",""),capitanes!B:B,A92)&gt;0,1,0)))"),"0, 0")</f>
        <v>0, 0</v>
      </c>
      <c r="F92" s="5" t="str">
        <f>IFERROR(__xludf.DUMMYFUNCTION("JOIN("", "",ARRAYFORMULA(IFERROR(VLOOKUP(VALUE(TRIM(SPLIT(D92,"",""))), QUERY(goles!A:C,""select A, sum(C) where B='""&amp;A92&amp;""' group by A""),2,FALSE),0)))"),"0, 0")</f>
        <v>0, 0</v>
      </c>
      <c r="G92" s="5" t="s">
        <v>537</v>
      </c>
      <c r="H92" s="5" t="s">
        <v>25</v>
      </c>
      <c r="I92" s="7">
        <v>14642.0</v>
      </c>
      <c r="J92" s="8">
        <v>14612.0</v>
      </c>
      <c r="K92" s="5" t="s">
        <v>35</v>
      </c>
      <c r="L92" s="5" t="s">
        <v>35</v>
      </c>
      <c r="M92" s="5" t="s">
        <v>25</v>
      </c>
      <c r="N92" s="9" t="s">
        <v>36</v>
      </c>
      <c r="O92" s="9" t="s">
        <v>37</v>
      </c>
      <c r="P92" s="10">
        <v>-34.89453803</v>
      </c>
      <c r="Q92" s="10">
        <v>-56.15278107</v>
      </c>
      <c r="R92" s="5" t="s">
        <v>538</v>
      </c>
      <c r="S92" s="14" t="s">
        <v>539</v>
      </c>
      <c r="T92" s="12"/>
      <c r="U92" s="12"/>
    </row>
    <row r="93">
      <c r="A93" s="5" t="s">
        <v>540</v>
      </c>
      <c r="B93" s="5" t="s">
        <v>46</v>
      </c>
      <c r="C93" s="6">
        <v>1.0</v>
      </c>
      <c r="D93" s="6">
        <v>1950.0</v>
      </c>
      <c r="E93" s="5" t="str">
        <f>IFERROR(__xludf.DUMMYFUNCTION("TEXTJOIN("", "",TRUE,ARRAYFORMULA(IF(COUNTIFS(capitanes!A:A,SPLIT(D93,"",""),capitanes!B:B,A93)&gt;0,1,0)))"),"0")</f>
        <v>0</v>
      </c>
      <c r="F93" s="5" t="str">
        <f>IFERROR(__xludf.DUMMYFUNCTION("JOIN("", "",ARRAYFORMULA(IFERROR(VLOOKUP(VALUE(TRIM(SPLIT(D93,"",""))), QUERY(goles!A:C,""select A, sum(C) where B='""&amp;A93&amp;""' group by A""),2,FALSE),0)))"),"0")</f>
        <v>0</v>
      </c>
      <c r="G93" s="5" t="s">
        <v>541</v>
      </c>
      <c r="H93" s="5" t="s">
        <v>25</v>
      </c>
      <c r="I93" s="7">
        <v>9542.0</v>
      </c>
      <c r="J93" s="6" t="s">
        <v>542</v>
      </c>
      <c r="K93" s="5" t="s">
        <v>35</v>
      </c>
      <c r="L93" s="5" t="s">
        <v>35</v>
      </c>
      <c r="M93" s="5" t="s">
        <v>25</v>
      </c>
      <c r="N93" s="9" t="s">
        <v>36</v>
      </c>
      <c r="O93" s="9" t="s">
        <v>37</v>
      </c>
      <c r="P93" s="10">
        <v>-34.89453803</v>
      </c>
      <c r="Q93" s="10">
        <v>-56.15278107</v>
      </c>
      <c r="R93" s="5" t="s">
        <v>543</v>
      </c>
      <c r="S93" s="14" t="s">
        <v>544</v>
      </c>
      <c r="T93" s="12"/>
      <c r="U93" s="12"/>
    </row>
    <row r="94">
      <c r="A94" s="5" t="s">
        <v>545</v>
      </c>
      <c r="B94" s="5" t="s">
        <v>46</v>
      </c>
      <c r="C94" s="6">
        <v>2.0</v>
      </c>
      <c r="D94" s="5" t="s">
        <v>284</v>
      </c>
      <c r="E94" s="5" t="str">
        <f>IFERROR(__xludf.DUMMYFUNCTION("TEXTJOIN("", "",TRUE,ARRAYFORMULA(IF(COUNTIFS(capitanes!A:A,SPLIT(D94,"",""),capitanes!B:B,A94)&gt;0,1,0)))"),"1, 1")</f>
        <v>1, 1</v>
      </c>
      <c r="F94" s="5" t="str">
        <f>IFERROR(__xludf.DUMMYFUNCTION("JOIN("", "",ARRAYFORMULA(IFERROR(VLOOKUP(VALUE(TRIM(SPLIT(D94,"",""))), QUERY(goles!A:C,""select A, sum(C) where B='""&amp;A94&amp;""' group by A""),2,FALSE),0)))"),"0, 0")</f>
        <v>0, 0</v>
      </c>
      <c r="G94" s="5" t="s">
        <v>546</v>
      </c>
      <c r="H94" s="5" t="s">
        <v>25</v>
      </c>
      <c r="I94" s="7">
        <v>12819.0</v>
      </c>
      <c r="J94" s="8">
        <v>12876.0</v>
      </c>
      <c r="K94" s="5" t="s">
        <v>547</v>
      </c>
      <c r="L94" s="5" t="s">
        <v>74</v>
      </c>
      <c r="M94" s="5" t="s">
        <v>25</v>
      </c>
      <c r="N94" s="9" t="s">
        <v>548</v>
      </c>
      <c r="O94" s="9" t="s">
        <v>549</v>
      </c>
      <c r="P94" s="10">
        <v>-34.28861599</v>
      </c>
      <c r="Q94" s="10">
        <v>-57.23545289</v>
      </c>
      <c r="R94" s="14" t="s">
        <v>550</v>
      </c>
      <c r="S94" s="14" t="s">
        <v>551</v>
      </c>
      <c r="T94" s="12"/>
      <c r="U94" s="12"/>
    </row>
    <row r="95">
      <c r="A95" s="5" t="s">
        <v>552</v>
      </c>
      <c r="B95" s="5" t="s">
        <v>46</v>
      </c>
      <c r="C95" s="6">
        <v>1.0</v>
      </c>
      <c r="D95" s="6">
        <v>1990.0</v>
      </c>
      <c r="E95" s="5" t="str">
        <f>IFERROR(__xludf.DUMMYFUNCTION("TEXTJOIN("", "",TRUE,ARRAYFORMULA(IF(COUNTIFS(capitanes!A:A,SPLIT(D95,"",""),capitanes!B:B,A95)&gt;0,1,0)))"),"0")</f>
        <v>0</v>
      </c>
      <c r="F95" s="5" t="str">
        <f>IFERROR(__xludf.DUMMYFUNCTION("JOIN("", "",ARRAYFORMULA(IFERROR(VLOOKUP(VALUE(TRIM(SPLIT(D95,"",""))), QUERY(goles!A:C,""select A, sum(C) where B='""&amp;A95&amp;""' group by A""),2,FALSE),0)))"),"0")</f>
        <v>0</v>
      </c>
      <c r="G95" s="5" t="s">
        <v>135</v>
      </c>
      <c r="H95" s="5" t="s">
        <v>136</v>
      </c>
      <c r="I95" s="7">
        <v>21243.0</v>
      </c>
      <c r="J95" s="6" t="s">
        <v>553</v>
      </c>
      <c r="K95" s="5" t="s">
        <v>144</v>
      </c>
      <c r="L95" s="5" t="s">
        <v>144</v>
      </c>
      <c r="M95" s="5" t="s">
        <v>25</v>
      </c>
      <c r="N95" s="9" t="s">
        <v>554</v>
      </c>
      <c r="O95" s="9" t="s">
        <v>555</v>
      </c>
      <c r="P95" s="10">
        <v>-30.90835294</v>
      </c>
      <c r="Q95" s="10">
        <v>-55.54840554</v>
      </c>
      <c r="R95" s="5" t="s">
        <v>556</v>
      </c>
      <c r="S95" s="14" t="s">
        <v>557</v>
      </c>
      <c r="T95" s="12"/>
      <c r="U95" s="12"/>
    </row>
    <row r="96">
      <c r="A96" s="5" t="s">
        <v>558</v>
      </c>
      <c r="B96" s="5" t="s">
        <v>31</v>
      </c>
      <c r="C96" s="6">
        <v>1.0</v>
      </c>
      <c r="D96" s="6">
        <v>2010.0</v>
      </c>
      <c r="E96" s="5" t="str">
        <f>IFERROR(__xludf.DUMMYFUNCTION("TEXTJOIN("", "",TRUE,ARRAYFORMULA(IF(COUNTIFS(capitanes!A:A,SPLIT(D96,"",""),capitanes!B:B,A96)&gt;0,1,0)))"),"0")</f>
        <v>0</v>
      </c>
      <c r="F96" s="5" t="str">
        <f>IFERROR(__xludf.DUMMYFUNCTION("JOIN("", "",ARRAYFORMULA(IFERROR(VLOOKUP(VALUE(TRIM(SPLIT(D96,"",""))), QUERY(goles!A:C,""select A, sum(C) where B='""&amp;A96&amp;""' group by A""),2,FALSE),0)))"),"0")</f>
        <v>0</v>
      </c>
      <c r="G96" s="5" t="s">
        <v>477</v>
      </c>
      <c r="H96" s="5" t="s">
        <v>227</v>
      </c>
      <c r="I96" s="7">
        <v>30085.0</v>
      </c>
      <c r="J96" s="6" t="s">
        <v>559</v>
      </c>
      <c r="K96" s="5" t="s">
        <v>35</v>
      </c>
      <c r="L96" s="5" t="s">
        <v>35</v>
      </c>
      <c r="M96" s="5" t="s">
        <v>25</v>
      </c>
      <c r="N96" s="9" t="s">
        <v>36</v>
      </c>
      <c r="O96" s="9" t="s">
        <v>37</v>
      </c>
      <c r="P96" s="10">
        <v>-34.89453803</v>
      </c>
      <c r="Q96" s="10">
        <v>-56.15278107</v>
      </c>
      <c r="R96" s="5" t="s">
        <v>560</v>
      </c>
      <c r="S96" s="14" t="s">
        <v>561</v>
      </c>
      <c r="T96" s="12"/>
      <c r="U96" s="12"/>
    </row>
    <row r="97">
      <c r="A97" s="5" t="s">
        <v>562</v>
      </c>
      <c r="B97" s="5" t="s">
        <v>31</v>
      </c>
      <c r="C97" s="6">
        <v>1.0</v>
      </c>
      <c r="D97" s="6">
        <v>1970.0</v>
      </c>
      <c r="E97" s="5" t="str">
        <f>IFERROR(__xludf.DUMMYFUNCTION("TEXTJOIN("", "",TRUE,ARRAYFORMULA(IF(COUNTIFS(capitanes!A:A,SPLIT(D97,"",""),capitanes!B:B,A97)&gt;0,1,0)))"),"0")</f>
        <v>0</v>
      </c>
      <c r="F97" s="5" t="str">
        <f>IFERROR(__xludf.DUMMYFUNCTION("JOIN("", "",ARRAYFORMULA(IFERROR(VLOOKUP(VALUE(TRIM(SPLIT(D97,"",""))), QUERY(goles!A:C,""select A, sum(C) where B='""&amp;A97&amp;""' group by A""),2,FALSE),0)))"),"1")</f>
        <v>1</v>
      </c>
      <c r="G97" s="5" t="s">
        <v>59</v>
      </c>
      <c r="H97" s="5" t="s">
        <v>25</v>
      </c>
      <c r="I97" s="7">
        <v>17383.0</v>
      </c>
      <c r="J97" s="8">
        <v>17265.0</v>
      </c>
      <c r="K97" s="5" t="s">
        <v>107</v>
      </c>
      <c r="L97" s="5" t="s">
        <v>108</v>
      </c>
      <c r="M97" s="5" t="s">
        <v>25</v>
      </c>
      <c r="N97" s="9" t="s">
        <v>109</v>
      </c>
      <c r="O97" s="9" t="s">
        <v>110</v>
      </c>
      <c r="P97" s="10">
        <v>-33.25788253</v>
      </c>
      <c r="Q97" s="10">
        <v>-58.02286996</v>
      </c>
      <c r="R97" s="14" t="s">
        <v>563</v>
      </c>
      <c r="S97" s="14" t="s">
        <v>564</v>
      </c>
      <c r="T97" s="12"/>
      <c r="U97" s="12"/>
    </row>
    <row r="98">
      <c r="A98" s="5" t="s">
        <v>565</v>
      </c>
      <c r="B98" s="5" t="s">
        <v>20</v>
      </c>
      <c r="C98" s="6">
        <v>1.0</v>
      </c>
      <c r="D98" s="6">
        <v>1954.0</v>
      </c>
      <c r="E98" s="5" t="str">
        <f>IFERROR(__xludf.DUMMYFUNCTION("TEXTJOIN("", "",TRUE,ARRAYFORMULA(IF(COUNTIFS(capitanes!A:A,SPLIT(D98,"",""),capitanes!B:B,A98)&gt;0,1,0)))"),"0")</f>
        <v>0</v>
      </c>
      <c r="F98" s="5" t="str">
        <f>IFERROR(__xludf.DUMMYFUNCTION("JOIN("", "",ARRAYFORMULA(IFERROR(VLOOKUP(VALUE(TRIM(SPLIT(D98,"",""))), QUERY(goles!A:C,""select A, sum(C) where B='""&amp;A98&amp;""' group by A""),2,FALSE),0)))"),"1")</f>
        <v>1</v>
      </c>
      <c r="G98" s="5" t="s">
        <v>59</v>
      </c>
      <c r="H98" s="5" t="s">
        <v>25</v>
      </c>
      <c r="I98" s="7">
        <v>11818.0</v>
      </c>
      <c r="J98" s="8">
        <v>11937.0</v>
      </c>
      <c r="K98" s="5" t="s">
        <v>35</v>
      </c>
      <c r="L98" s="5" t="s">
        <v>35</v>
      </c>
      <c r="M98" s="5" t="s">
        <v>25</v>
      </c>
      <c r="N98" s="9" t="s">
        <v>36</v>
      </c>
      <c r="O98" s="9" t="s">
        <v>37</v>
      </c>
      <c r="P98" s="10">
        <v>-34.89453803</v>
      </c>
      <c r="Q98" s="10">
        <v>-56.15278107</v>
      </c>
      <c r="R98" s="14" t="s">
        <v>566</v>
      </c>
      <c r="S98" s="14" t="s">
        <v>567</v>
      </c>
      <c r="T98" s="12"/>
      <c r="U98" s="12"/>
    </row>
    <row r="99">
      <c r="A99" s="5" t="s">
        <v>568</v>
      </c>
      <c r="B99" s="5" t="s">
        <v>117</v>
      </c>
      <c r="C99" s="6">
        <v>1.0</v>
      </c>
      <c r="D99" s="6">
        <v>1990.0</v>
      </c>
      <c r="E99" s="5" t="str">
        <f>IFERROR(__xludf.DUMMYFUNCTION("TEXTJOIN("", "",TRUE,ARRAYFORMULA(IF(COUNTIFS(capitanes!A:A,SPLIT(D99,"",""),capitanes!B:B,A99)&gt;0,1,0)))"),"0")</f>
        <v>0</v>
      </c>
      <c r="F99" s="5" t="str">
        <f>IFERROR(__xludf.DUMMYFUNCTION("JOIN("", "",ARRAYFORMULA(IFERROR(VLOOKUP(VALUE(TRIM(SPLIT(D99,"",""))), QUERY(goles!A:C,""select A, sum(C) where B='""&amp;A99&amp;""' group by A""),2,FALSE),0)))"),"0")</f>
        <v>0</v>
      </c>
      <c r="G99" s="5" t="s">
        <v>569</v>
      </c>
      <c r="H99" s="5" t="s">
        <v>227</v>
      </c>
      <c r="I99" s="7">
        <v>22768.0</v>
      </c>
      <c r="J99" s="8">
        <v>22682.0</v>
      </c>
      <c r="K99" s="5" t="s">
        <v>35</v>
      </c>
      <c r="L99" s="5" t="s">
        <v>35</v>
      </c>
      <c r="M99" s="5" t="s">
        <v>25</v>
      </c>
      <c r="N99" s="9" t="s">
        <v>36</v>
      </c>
      <c r="O99" s="9" t="s">
        <v>37</v>
      </c>
      <c r="P99" s="10">
        <v>-34.89453803</v>
      </c>
      <c r="Q99" s="10">
        <v>-56.15278107</v>
      </c>
      <c r="R99" s="14" t="s">
        <v>570</v>
      </c>
      <c r="S99" s="14" t="s">
        <v>571</v>
      </c>
      <c r="T99" s="12"/>
      <c r="U99" s="12"/>
    </row>
    <row r="100">
      <c r="A100" s="16" t="s">
        <v>572</v>
      </c>
      <c r="B100" s="16" t="s">
        <v>46</v>
      </c>
      <c r="C100" s="16">
        <v>1.0</v>
      </c>
      <c r="D100" s="16">
        <v>2026.0</v>
      </c>
      <c r="E100" s="5" t="str">
        <f>IFERROR(__xludf.DUMMYFUNCTION("TEXTJOIN("", "",TRUE,ARRAYFORMULA(IF(COUNTIFS(capitanes!A:A,SPLIT(D100,"",""),capitanes!B:B,A100)&gt;0,1,0)))"),"0")</f>
        <v>0</v>
      </c>
      <c r="F100" s="5" t="str">
        <f>IFERROR(__xludf.DUMMYFUNCTION("JOIN("", "",ARRAYFORMULA(IFERROR(VLOOKUP(VALUE(TRIM(SPLIT(D100,"",""))), QUERY(goles!A:C,""select A, sum(C) where B='""&amp;A100&amp;""' group by A""),2,FALSE),0)))"),"0")</f>
        <v>0</v>
      </c>
      <c r="G100" s="16" t="s">
        <v>331</v>
      </c>
      <c r="H100" s="16" t="s">
        <v>214</v>
      </c>
      <c r="I100" s="17">
        <v>36031.0</v>
      </c>
      <c r="J100" s="16" t="s">
        <v>573</v>
      </c>
      <c r="K100" s="5" t="s">
        <v>35</v>
      </c>
      <c r="L100" s="5" t="s">
        <v>35</v>
      </c>
      <c r="M100" s="5" t="s">
        <v>25</v>
      </c>
      <c r="N100" s="9" t="s">
        <v>36</v>
      </c>
      <c r="O100" s="9" t="s">
        <v>37</v>
      </c>
      <c r="P100" s="10">
        <v>-34.89453803</v>
      </c>
      <c r="Q100" s="10">
        <v>-56.15278107</v>
      </c>
      <c r="R100" s="19" t="s">
        <v>574</v>
      </c>
      <c r="S100" s="23" t="s">
        <v>575</v>
      </c>
      <c r="T100" s="12"/>
      <c r="U100" s="12"/>
    </row>
    <row r="101">
      <c r="A101" s="5" t="s">
        <v>576</v>
      </c>
      <c r="B101" s="5" t="s">
        <v>46</v>
      </c>
      <c r="C101" s="6">
        <v>1.0</v>
      </c>
      <c r="D101" s="6">
        <v>2002.0</v>
      </c>
      <c r="E101" s="5" t="str">
        <f>IFERROR(__xludf.DUMMYFUNCTION("TEXTJOIN("", "",TRUE,ARRAYFORMULA(IF(COUNTIFS(capitanes!A:A,SPLIT(D101,"",""),capitanes!B:B,A101)&gt;0,1,0)))"),"0")</f>
        <v>0</v>
      </c>
      <c r="F101" s="5" t="str">
        <f>IFERROR(__xludf.DUMMYFUNCTION("JOIN("", "",ARRAYFORMULA(IFERROR(VLOOKUP(VALUE(TRIM(SPLIT(D101,"",""))), QUERY(goles!A:C,""select A, sum(C) where B='""&amp;A101&amp;""' group by A""),2,FALSE),0)))"),"0")</f>
        <v>0</v>
      </c>
      <c r="G101" s="5" t="s">
        <v>54</v>
      </c>
      <c r="H101" s="5" t="s">
        <v>25</v>
      </c>
      <c r="I101" s="7">
        <v>29358.0</v>
      </c>
      <c r="J101" s="6" t="s">
        <v>577</v>
      </c>
      <c r="K101" s="5" t="s">
        <v>237</v>
      </c>
      <c r="L101" s="5" t="s">
        <v>237</v>
      </c>
      <c r="M101" s="5" t="s">
        <v>25</v>
      </c>
      <c r="N101" s="9" t="s">
        <v>238</v>
      </c>
      <c r="O101" s="9" t="s">
        <v>239</v>
      </c>
      <c r="P101" s="10">
        <v>-30.39450316</v>
      </c>
      <c r="Q101" s="10">
        <v>-56.45750082</v>
      </c>
      <c r="R101" s="14" t="s">
        <v>578</v>
      </c>
      <c r="S101" s="14" t="s">
        <v>579</v>
      </c>
      <c r="T101" s="12"/>
      <c r="U101" s="12"/>
    </row>
    <row r="102">
      <c r="A102" s="5" t="s">
        <v>580</v>
      </c>
      <c r="B102" s="5" t="s">
        <v>31</v>
      </c>
      <c r="C102" s="6">
        <v>1.0</v>
      </c>
      <c r="D102" s="6">
        <v>2018.0</v>
      </c>
      <c r="E102" s="5" t="str">
        <f>IFERROR(__xludf.DUMMYFUNCTION("TEXTJOIN("", "",TRUE,ARRAYFORMULA(IF(COUNTIFS(capitanes!A:A,SPLIT(D102,"",""),capitanes!B:B,A102)&gt;0,1,0)))"),"0")</f>
        <v>0</v>
      </c>
      <c r="F102" s="5" t="str">
        <f>IFERROR(__xludf.DUMMYFUNCTION("JOIN("", "",ARRAYFORMULA(IFERROR(VLOOKUP(VALUE(TRIM(SPLIT(D102,"",""))), QUERY(goles!A:C,""select A, sum(C) where B='""&amp;A102&amp;""' group by A""),2,FALSE),0)))"),"0")</f>
        <v>0</v>
      </c>
      <c r="G102" s="5" t="s">
        <v>166</v>
      </c>
      <c r="H102" s="5" t="s">
        <v>141</v>
      </c>
      <c r="I102" s="7">
        <v>32951.0</v>
      </c>
      <c r="J102" s="6" t="s">
        <v>581</v>
      </c>
      <c r="K102" s="5" t="s">
        <v>35</v>
      </c>
      <c r="L102" s="5" t="s">
        <v>35</v>
      </c>
      <c r="M102" s="5" t="s">
        <v>25</v>
      </c>
      <c r="N102" s="9" t="s">
        <v>36</v>
      </c>
      <c r="O102" s="9" t="s">
        <v>37</v>
      </c>
      <c r="P102" s="10">
        <v>-34.89453803</v>
      </c>
      <c r="Q102" s="10">
        <v>-56.15278107</v>
      </c>
      <c r="R102" s="14" t="s">
        <v>582</v>
      </c>
      <c r="S102" s="14" t="s">
        <v>583</v>
      </c>
      <c r="T102" s="12"/>
      <c r="U102" s="12"/>
    </row>
    <row r="103">
      <c r="A103" s="5" t="s">
        <v>584</v>
      </c>
      <c r="B103" s="5" t="s">
        <v>31</v>
      </c>
      <c r="C103" s="6">
        <v>1.0</v>
      </c>
      <c r="D103" s="6">
        <v>1986.0</v>
      </c>
      <c r="E103" s="5" t="str">
        <f>IFERROR(__xludf.DUMMYFUNCTION("TEXTJOIN("", "",TRUE,ARRAYFORMULA(IF(COUNTIFS(capitanes!A:A,SPLIT(D103,"",""),capitanes!B:B,A103)&gt;0,1,0)))"),"1")</f>
        <v>1</v>
      </c>
      <c r="F103" s="5" t="str">
        <f>IFERROR(__xludf.DUMMYFUNCTION("JOIN("", "",ARRAYFORMULA(IFERROR(VLOOKUP(VALUE(TRIM(SPLIT(D103,"",""))), QUERY(goles!A:C,""select A, sum(C) where B='""&amp;A103&amp;""' group by A""),2,FALSE),0)))"),"0")</f>
        <v>0</v>
      </c>
      <c r="G103" s="5" t="s">
        <v>585</v>
      </c>
      <c r="H103" s="5" t="s">
        <v>586</v>
      </c>
      <c r="I103" s="7">
        <v>22305.0</v>
      </c>
      <c r="J103" s="6" t="s">
        <v>587</v>
      </c>
      <c r="K103" s="5" t="s">
        <v>588</v>
      </c>
      <c r="L103" s="5" t="s">
        <v>24</v>
      </c>
      <c r="M103" s="5" t="s">
        <v>25</v>
      </c>
      <c r="N103" s="9" t="s">
        <v>589</v>
      </c>
      <c r="O103" s="9" t="s">
        <v>590</v>
      </c>
      <c r="P103" s="10">
        <v>-34.72740899</v>
      </c>
      <c r="Q103" s="10">
        <v>-56.21650214</v>
      </c>
      <c r="R103" s="14" t="s">
        <v>591</v>
      </c>
      <c r="S103" s="14" t="s">
        <v>592</v>
      </c>
      <c r="T103" s="12"/>
      <c r="U103" s="12"/>
    </row>
    <row r="104">
      <c r="A104" s="5" t="s">
        <v>593</v>
      </c>
      <c r="B104" s="5" t="s">
        <v>20</v>
      </c>
      <c r="C104" s="6">
        <v>1.0</v>
      </c>
      <c r="D104" s="6">
        <v>1986.0</v>
      </c>
      <c r="E104" s="5" t="str">
        <f>IFERROR(__xludf.DUMMYFUNCTION("TEXTJOIN("", "",TRUE,ARRAYFORMULA(IF(COUNTIFS(capitanes!A:A,SPLIT(D104,"",""),capitanes!B:B,A104)&gt;0,1,0)))"),"0")</f>
        <v>0</v>
      </c>
      <c r="F104" s="5" t="str">
        <f>IFERROR(__xludf.DUMMYFUNCTION("JOIN("", "",ARRAYFORMULA(IFERROR(VLOOKUP(VALUE(TRIM(SPLIT(D104,"",""))), QUERY(goles!A:C,""select A, sum(C) where B='""&amp;A104&amp;""' group by A""),2,FALSE),0)))"),"0")</f>
        <v>0</v>
      </c>
      <c r="G104" s="5" t="s">
        <v>594</v>
      </c>
      <c r="H104" s="5" t="s">
        <v>227</v>
      </c>
      <c r="I104" s="7">
        <v>22626.0</v>
      </c>
      <c r="J104" s="8">
        <v>22597.0</v>
      </c>
      <c r="K104" s="5" t="s">
        <v>35</v>
      </c>
      <c r="L104" s="5" t="s">
        <v>35</v>
      </c>
      <c r="M104" s="5" t="s">
        <v>25</v>
      </c>
      <c r="N104" s="9" t="s">
        <v>36</v>
      </c>
      <c r="O104" s="9" t="s">
        <v>37</v>
      </c>
      <c r="P104" s="10">
        <v>-34.89453803</v>
      </c>
      <c r="Q104" s="10">
        <v>-56.15278107</v>
      </c>
      <c r="R104" s="14" t="s">
        <v>595</v>
      </c>
      <c r="S104" s="14" t="s">
        <v>596</v>
      </c>
      <c r="T104" s="12"/>
      <c r="U104" s="12"/>
    </row>
    <row r="105">
      <c r="A105" s="5" t="s">
        <v>597</v>
      </c>
      <c r="B105" s="5" t="s">
        <v>46</v>
      </c>
      <c r="C105" s="6">
        <v>2.0</v>
      </c>
      <c r="D105" s="5" t="s">
        <v>89</v>
      </c>
      <c r="E105" s="5" t="str">
        <f>IFERROR(__xludf.DUMMYFUNCTION("TEXTJOIN("", "",TRUE,ARRAYFORMULA(IF(COUNTIFS(capitanes!A:A,SPLIT(D105,"",""),capitanes!B:B,A105)&gt;0,1,0)))"),"0, 0")</f>
        <v>0, 0</v>
      </c>
      <c r="F105" s="5" t="str">
        <f>IFERROR(__xludf.DUMMYFUNCTION("JOIN("", "",ARRAYFORMULA(IFERROR(VLOOKUP(VALUE(TRIM(SPLIT(D105,"",""))), QUERY(goles!A:C,""select A, sum(C) where B='""&amp;A105&amp;""' group by A""),2,FALSE),0)))"),"0, 0")</f>
        <v>0, 0</v>
      </c>
      <c r="G105" s="5" t="s">
        <v>598</v>
      </c>
      <c r="H105" s="5" t="s">
        <v>599</v>
      </c>
      <c r="I105" s="7">
        <v>31005.0</v>
      </c>
      <c r="J105" s="6" t="s">
        <v>600</v>
      </c>
      <c r="K105" s="5" t="s">
        <v>35</v>
      </c>
      <c r="L105" s="5" t="s">
        <v>35</v>
      </c>
      <c r="M105" s="5" t="s">
        <v>25</v>
      </c>
      <c r="N105" s="9" t="s">
        <v>36</v>
      </c>
      <c r="O105" s="9" t="s">
        <v>37</v>
      </c>
      <c r="P105" s="10">
        <v>-34.89453803</v>
      </c>
      <c r="Q105" s="10">
        <v>-56.15278107</v>
      </c>
      <c r="R105" s="14" t="s">
        <v>601</v>
      </c>
      <c r="S105" s="14" t="s">
        <v>602</v>
      </c>
      <c r="T105" s="12"/>
      <c r="U105" s="12"/>
    </row>
    <row r="106">
      <c r="A106" s="5" t="s">
        <v>603</v>
      </c>
      <c r="B106" s="5" t="s">
        <v>46</v>
      </c>
      <c r="C106" s="6">
        <v>1.0</v>
      </c>
      <c r="D106" s="6">
        <v>1966.0</v>
      </c>
      <c r="E106" s="5" t="str">
        <f>IFERROR(__xludf.DUMMYFUNCTION("TEXTJOIN("", "",TRUE,ARRAYFORMULA(IF(COUNTIFS(capitanes!A:A,SPLIT(D106,"",""),capitanes!B:B,A106)&gt;0,1,0)))"),"0")</f>
        <v>0</v>
      </c>
      <c r="F106" s="5" t="str">
        <f>IFERROR(__xludf.DUMMYFUNCTION("JOIN("", "",ARRAYFORMULA(IFERROR(VLOOKUP(VALUE(TRIM(SPLIT(D106,"",""))), QUERY(goles!A:C,""select A, sum(C) where B='""&amp;A106&amp;""' group by A""),2,FALSE),0)))"),"0")</f>
        <v>0</v>
      </c>
      <c r="G106" s="5" t="s">
        <v>59</v>
      </c>
      <c r="H106" s="5" t="s">
        <v>25</v>
      </c>
      <c r="I106" s="7">
        <v>14188.0</v>
      </c>
      <c r="J106" s="8">
        <v>13981.0</v>
      </c>
      <c r="K106" s="5" t="s">
        <v>35</v>
      </c>
      <c r="L106" s="5" t="s">
        <v>35</v>
      </c>
      <c r="M106" s="5" t="s">
        <v>25</v>
      </c>
      <c r="N106" s="9" t="s">
        <v>36</v>
      </c>
      <c r="O106" s="9" t="s">
        <v>37</v>
      </c>
      <c r="P106" s="10">
        <v>-34.89453803</v>
      </c>
      <c r="Q106" s="10">
        <v>-56.15278107</v>
      </c>
      <c r="R106" s="14" t="s">
        <v>604</v>
      </c>
      <c r="S106" s="14" t="s">
        <v>605</v>
      </c>
      <c r="T106" s="12"/>
      <c r="U106" s="12"/>
    </row>
    <row r="107">
      <c r="A107" s="5" t="s">
        <v>606</v>
      </c>
      <c r="B107" s="5" t="s">
        <v>46</v>
      </c>
      <c r="C107" s="6">
        <v>1.0</v>
      </c>
      <c r="D107" s="6">
        <v>1986.0</v>
      </c>
      <c r="E107" s="5" t="str">
        <f>IFERROR(__xludf.DUMMYFUNCTION("TEXTJOIN("", "",TRUE,ARRAYFORMULA(IF(COUNTIFS(capitanes!A:A,SPLIT(D107,"",""),capitanes!B:B,A107)&gt;0,1,0)))"),"0")</f>
        <v>0</v>
      </c>
      <c r="F107" s="5" t="str">
        <f>IFERROR(__xludf.DUMMYFUNCTION("JOIN("", "",ARRAYFORMULA(IFERROR(VLOOKUP(VALUE(TRIM(SPLIT(D107,"",""))), QUERY(goles!A:C,""select A, sum(C) where B='""&amp;A107&amp;""' group by A""),2,FALSE),0)))"),"0")</f>
        <v>0</v>
      </c>
      <c r="G107" s="5" t="s">
        <v>607</v>
      </c>
      <c r="H107" s="5" t="s">
        <v>136</v>
      </c>
      <c r="I107" s="7">
        <v>22711.0</v>
      </c>
      <c r="J107" s="8">
        <v>22800.0</v>
      </c>
      <c r="K107" s="5" t="s">
        <v>297</v>
      </c>
      <c r="L107" s="5" t="s">
        <v>74</v>
      </c>
      <c r="M107" s="5" t="s">
        <v>25</v>
      </c>
      <c r="N107" s="9" t="s">
        <v>298</v>
      </c>
      <c r="O107" s="9" t="s">
        <v>299</v>
      </c>
      <c r="P107" s="10">
        <v>-34.46709516</v>
      </c>
      <c r="Q107" s="10">
        <v>-57.84566773</v>
      </c>
      <c r="R107" s="5" t="s">
        <v>608</v>
      </c>
      <c r="S107" s="14" t="s">
        <v>609</v>
      </c>
      <c r="T107" s="12"/>
      <c r="U107" s="12"/>
    </row>
    <row r="108">
      <c r="A108" s="5" t="s">
        <v>610</v>
      </c>
      <c r="B108" s="5" t="s">
        <v>20</v>
      </c>
      <c r="C108" s="6">
        <v>1.0</v>
      </c>
      <c r="D108" s="6">
        <v>1974.0</v>
      </c>
      <c r="E108" s="5" t="str">
        <f>IFERROR(__xludf.DUMMYFUNCTION("TEXTJOIN("", "",TRUE,ARRAYFORMULA(IF(COUNTIFS(capitanes!A:A,SPLIT(D108,"",""),capitanes!B:B,A108)&gt;0,1,0)))"),"0")</f>
        <v>0</v>
      </c>
      <c r="F108" s="5" t="str">
        <f>IFERROR(__xludf.DUMMYFUNCTION("JOIN("", "",ARRAYFORMULA(IFERROR(VLOOKUP(VALUE(TRIM(SPLIT(D108,"",""))), QUERY(goles!A:C,""select A, sum(C) where B='""&amp;A108&amp;""' group by A""),2,FALSE),0)))"),"0")</f>
        <v>0</v>
      </c>
      <c r="G108" s="5" t="s">
        <v>541</v>
      </c>
      <c r="H108" s="5" t="s">
        <v>25</v>
      </c>
      <c r="I108" s="7">
        <v>18194.0</v>
      </c>
      <c r="J108" s="6" t="s">
        <v>611</v>
      </c>
      <c r="K108" s="5" t="s">
        <v>48</v>
      </c>
      <c r="L108" s="5" t="s">
        <v>48</v>
      </c>
      <c r="M108" s="5" t="s">
        <v>25</v>
      </c>
      <c r="N108" s="9" t="s">
        <v>49</v>
      </c>
      <c r="O108" s="9" t="s">
        <v>50</v>
      </c>
      <c r="P108" s="10">
        <v>-32.32100867</v>
      </c>
      <c r="Q108" s="10">
        <v>-58.08768999</v>
      </c>
      <c r="R108" s="14" t="s">
        <v>612</v>
      </c>
      <c r="S108" s="11" t="s">
        <v>613</v>
      </c>
      <c r="T108" s="12"/>
      <c r="U108" s="12"/>
    </row>
    <row r="109">
      <c r="A109" s="5" t="s">
        <v>614</v>
      </c>
      <c r="B109" s="5" t="s">
        <v>46</v>
      </c>
      <c r="C109" s="6">
        <v>1.0</v>
      </c>
      <c r="D109" s="6">
        <v>1990.0</v>
      </c>
      <c r="E109" s="5" t="str">
        <f>IFERROR(__xludf.DUMMYFUNCTION("TEXTJOIN("", "",TRUE,ARRAYFORMULA(IF(COUNTIFS(capitanes!A:A,SPLIT(D109,"",""),capitanes!B:B,A109)&gt;0,1,0)))"),"0")</f>
        <v>0</v>
      </c>
      <c r="F109" s="5" t="str">
        <f>IFERROR(__xludf.DUMMYFUNCTION("JOIN("", "",ARRAYFORMULA(IFERROR(VLOOKUP(VALUE(TRIM(SPLIT(D109,"",""))), QUERY(goles!A:C,""select A, sum(C) where B='""&amp;A109&amp;""' group by A""),2,FALSE),0)))"),"0")</f>
        <v>0</v>
      </c>
      <c r="G109" s="5" t="s">
        <v>615</v>
      </c>
      <c r="H109" s="5" t="s">
        <v>227</v>
      </c>
      <c r="I109" s="7">
        <v>23910.0</v>
      </c>
      <c r="J109" s="6" t="s">
        <v>616</v>
      </c>
      <c r="K109" s="5" t="s">
        <v>180</v>
      </c>
      <c r="L109" s="5" t="s">
        <v>24</v>
      </c>
      <c r="M109" s="5" t="s">
        <v>25</v>
      </c>
      <c r="N109" s="9" t="s">
        <v>181</v>
      </c>
      <c r="O109" s="9" t="s">
        <v>182</v>
      </c>
      <c r="P109" s="10">
        <v>-34.34433624</v>
      </c>
      <c r="Q109" s="10">
        <v>-55.76172094</v>
      </c>
      <c r="R109" s="5" t="s">
        <v>617</v>
      </c>
      <c r="S109" s="14" t="s">
        <v>618</v>
      </c>
      <c r="T109" s="12"/>
      <c r="U109" s="12"/>
    </row>
    <row r="110">
      <c r="A110" s="5" t="s">
        <v>619</v>
      </c>
      <c r="B110" s="5" t="s">
        <v>46</v>
      </c>
      <c r="C110" s="6">
        <v>1.0</v>
      </c>
      <c r="D110" s="6">
        <v>1930.0</v>
      </c>
      <c r="E110" s="5" t="str">
        <f>IFERROR(__xludf.DUMMYFUNCTION("TEXTJOIN("", "",TRUE,ARRAYFORMULA(IF(COUNTIFS(capitanes!A:A,SPLIT(D110,"",""),capitanes!B:B,A110)&gt;0,1,0)))"),"1")</f>
        <v>1</v>
      </c>
      <c r="F110" s="5" t="str">
        <f>IFERROR(__xludf.DUMMYFUNCTION("JOIN("", "",ARRAYFORMULA(IFERROR(VLOOKUP(VALUE(TRIM(SPLIT(D110,"",""))), QUERY(goles!A:C,""select A, sum(C) where B='""&amp;A110&amp;""' group by A""),2,FALSE),0)))"),"0")</f>
        <v>0</v>
      </c>
      <c r="G110" s="5" t="s">
        <v>342</v>
      </c>
      <c r="H110" s="5" t="s">
        <v>25</v>
      </c>
      <c r="I110" s="7">
        <v>449.0</v>
      </c>
      <c r="J110" s="6" t="s">
        <v>620</v>
      </c>
      <c r="K110" s="5" t="s">
        <v>35</v>
      </c>
      <c r="L110" s="5" t="s">
        <v>35</v>
      </c>
      <c r="M110" s="5" t="s">
        <v>25</v>
      </c>
      <c r="N110" s="9" t="s">
        <v>36</v>
      </c>
      <c r="O110" s="9" t="s">
        <v>37</v>
      </c>
      <c r="P110" s="10">
        <v>-34.89453803</v>
      </c>
      <c r="Q110" s="10">
        <v>-56.15278107</v>
      </c>
      <c r="R110" s="5" t="s">
        <v>621</v>
      </c>
      <c r="S110" s="14" t="s">
        <v>622</v>
      </c>
      <c r="T110" s="12"/>
      <c r="U110" s="12"/>
    </row>
    <row r="111">
      <c r="A111" s="5" t="s">
        <v>623</v>
      </c>
      <c r="B111" s="5" t="s">
        <v>46</v>
      </c>
      <c r="C111" s="6">
        <v>1.0</v>
      </c>
      <c r="D111" s="6">
        <v>1990.0</v>
      </c>
      <c r="E111" s="5" t="str">
        <f>IFERROR(__xludf.DUMMYFUNCTION("TEXTJOIN("", "",TRUE,ARRAYFORMULA(IF(COUNTIFS(capitanes!A:A,SPLIT(D111,"",""),capitanes!B:B,A111)&gt;0,1,0)))"),"0")</f>
        <v>0</v>
      </c>
      <c r="F111" s="5" t="str">
        <f>IFERROR(__xludf.DUMMYFUNCTION("JOIN("", "",ARRAYFORMULA(IFERROR(VLOOKUP(VALUE(TRIM(SPLIT(D111,"",""))), QUERY(goles!A:C,""select A, sum(C) where B='""&amp;A111&amp;""' group by A""),2,FALSE),0)))"),"0")</f>
        <v>0</v>
      </c>
      <c r="G111" s="5" t="s">
        <v>59</v>
      </c>
      <c r="H111" s="5" t="s">
        <v>25</v>
      </c>
      <c r="I111" s="7">
        <v>23461.0</v>
      </c>
      <c r="J111" s="6" t="s">
        <v>624</v>
      </c>
      <c r="K111" s="5" t="s">
        <v>237</v>
      </c>
      <c r="L111" s="5" t="s">
        <v>237</v>
      </c>
      <c r="M111" s="5" t="s">
        <v>25</v>
      </c>
      <c r="N111" s="9" t="s">
        <v>238</v>
      </c>
      <c r="O111" s="9" t="s">
        <v>239</v>
      </c>
      <c r="P111" s="10">
        <v>-30.39450316</v>
      </c>
      <c r="Q111" s="10">
        <v>-56.45750082</v>
      </c>
      <c r="R111" s="5" t="s">
        <v>625</v>
      </c>
      <c r="S111" s="14" t="s">
        <v>626</v>
      </c>
      <c r="T111" s="12"/>
      <c r="U111" s="12"/>
    </row>
    <row r="112">
      <c r="A112" s="5" t="s">
        <v>627</v>
      </c>
      <c r="B112" s="5" t="s">
        <v>46</v>
      </c>
      <c r="C112" s="6">
        <v>1.0</v>
      </c>
      <c r="D112" s="6">
        <v>2022.0</v>
      </c>
      <c r="E112" s="5" t="str">
        <f>IFERROR(__xludf.DUMMYFUNCTION("TEXTJOIN("", "",TRUE,ARRAYFORMULA(IF(COUNTIFS(capitanes!A:A,SPLIT(D112,"",""),capitanes!B:B,A112)&gt;0,1,0)))"),"0")</f>
        <v>0</v>
      </c>
      <c r="F112" s="5" t="str">
        <f>IFERROR(__xludf.DUMMYFUNCTION("JOIN("", "",ARRAYFORMULA(IFERROR(VLOOKUP(VALUE(TRIM(SPLIT(D112,"",""))), QUERY(goles!A:C,""select A, sum(C) where B='""&amp;A112&amp;""' group by A""),2,FALSE),0)))"),"0")</f>
        <v>0</v>
      </c>
      <c r="G112" s="5" t="s">
        <v>59</v>
      </c>
      <c r="H112" s="5" t="s">
        <v>25</v>
      </c>
      <c r="I112" s="7">
        <v>35503.0</v>
      </c>
      <c r="J112" s="6" t="s">
        <v>628</v>
      </c>
      <c r="K112" s="5" t="s">
        <v>24</v>
      </c>
      <c r="L112" s="5" t="s">
        <v>24</v>
      </c>
      <c r="M112" s="5" t="s">
        <v>25</v>
      </c>
      <c r="N112" s="9" t="s">
        <v>273</v>
      </c>
      <c r="O112" s="9" t="s">
        <v>274</v>
      </c>
      <c r="P112" s="10">
        <v>-34.52414955</v>
      </c>
      <c r="Q112" s="10">
        <v>-56.27395404</v>
      </c>
      <c r="R112" s="5" t="s">
        <v>629</v>
      </c>
      <c r="S112" s="14" t="s">
        <v>630</v>
      </c>
      <c r="T112" s="12"/>
      <c r="U112" s="12"/>
    </row>
    <row r="113">
      <c r="A113" s="5" t="s">
        <v>631</v>
      </c>
      <c r="B113" s="5" t="s">
        <v>31</v>
      </c>
      <c r="C113" s="6">
        <v>1.0</v>
      </c>
      <c r="D113" s="6">
        <v>1986.0</v>
      </c>
      <c r="E113" s="5" t="str">
        <f>IFERROR(__xludf.DUMMYFUNCTION("TEXTJOIN("", "",TRUE,ARRAYFORMULA(IF(COUNTIFS(capitanes!A:A,SPLIT(D113,"",""),capitanes!B:B,A113)&gt;0,1,0)))"),"0")</f>
        <v>0</v>
      </c>
      <c r="F113" s="5" t="str">
        <f>IFERROR(__xludf.DUMMYFUNCTION("JOIN("", "",ARRAYFORMULA(IFERROR(VLOOKUP(VALUE(TRIM(SPLIT(D113,"",""))), QUERY(goles!A:C,""select A, sum(C) where B='""&amp;A113&amp;""' group by A""),2,FALSE),0)))"),"0")</f>
        <v>0</v>
      </c>
      <c r="G113" s="5" t="s">
        <v>54</v>
      </c>
      <c r="H113" s="5" t="s">
        <v>25</v>
      </c>
      <c r="I113" s="7">
        <v>23310.0</v>
      </c>
      <c r="J113" s="6" t="s">
        <v>632</v>
      </c>
      <c r="K113" s="5" t="s">
        <v>35</v>
      </c>
      <c r="L113" s="5" t="s">
        <v>35</v>
      </c>
      <c r="M113" s="5" t="s">
        <v>25</v>
      </c>
      <c r="N113" s="9" t="s">
        <v>36</v>
      </c>
      <c r="O113" s="9" t="s">
        <v>37</v>
      </c>
      <c r="P113" s="10">
        <v>-34.89453803</v>
      </c>
      <c r="Q113" s="10">
        <v>-56.15278107</v>
      </c>
      <c r="R113" s="5" t="s">
        <v>633</v>
      </c>
      <c r="S113" s="14" t="s">
        <v>634</v>
      </c>
      <c r="T113" s="12"/>
      <c r="U113" s="12"/>
    </row>
    <row r="114">
      <c r="A114" s="5" t="s">
        <v>635</v>
      </c>
      <c r="B114" s="5" t="s">
        <v>46</v>
      </c>
      <c r="C114" s="6">
        <v>4.0</v>
      </c>
      <c r="D114" s="5" t="s">
        <v>636</v>
      </c>
      <c r="E114" s="5" t="str">
        <f>IFERROR(__xludf.DUMMYFUNCTION("TEXTJOIN("", "",TRUE,ARRAYFORMULA(IF(COUNTIFS(capitanes!A:A,SPLIT(D114,"",""),capitanes!B:B,A114)&gt;0,1,0)))"),"0, 0, 0, 1")</f>
        <v>0, 0, 0, 1</v>
      </c>
      <c r="F114" s="5" t="str">
        <f>IFERROR(__xludf.DUMMYFUNCTION("JOIN("", "",ARRAYFORMULA(IFERROR(VLOOKUP(VALUE(TRIM(SPLIT(D114,"",""))), QUERY(goles!A:C,""select A, sum(C) where B='""&amp;A114&amp;""' group by A""),2,FALSE),0)))"),"0, 1, 0, 0")</f>
        <v>0, 1, 0, 0</v>
      </c>
      <c r="G114" s="5" t="s">
        <v>637</v>
      </c>
      <c r="H114" s="5" t="s">
        <v>638</v>
      </c>
      <c r="I114" s="7">
        <v>34719.0</v>
      </c>
      <c r="J114" s="6" t="s">
        <v>639</v>
      </c>
      <c r="K114" s="5" t="s">
        <v>640</v>
      </c>
      <c r="L114" s="5" t="s">
        <v>24</v>
      </c>
      <c r="M114" s="5" t="s">
        <v>25</v>
      </c>
      <c r="N114" s="9" t="s">
        <v>641</v>
      </c>
      <c r="O114" s="9" t="s">
        <v>642</v>
      </c>
      <c r="P114" s="10">
        <v>-34.74453993</v>
      </c>
      <c r="Q114" s="10">
        <v>-56.08892077</v>
      </c>
      <c r="R114" s="5" t="s">
        <v>643</v>
      </c>
      <c r="S114" s="11" t="s">
        <v>644</v>
      </c>
      <c r="T114" s="12"/>
      <c r="U114" s="12"/>
    </row>
    <row r="115">
      <c r="A115" s="5" t="s">
        <v>645</v>
      </c>
      <c r="B115" s="5" t="s">
        <v>20</v>
      </c>
      <c r="C115" s="6">
        <v>1.0</v>
      </c>
      <c r="D115" s="6">
        <v>1930.0</v>
      </c>
      <c r="E115" s="5" t="str">
        <f>IFERROR(__xludf.DUMMYFUNCTION("TEXTJOIN("", "",TRUE,ARRAYFORMULA(IF(COUNTIFS(capitanes!A:A,SPLIT(D115,"",""),capitanes!B:B,A115)&gt;0,1,0)))"),"0")</f>
        <v>0</v>
      </c>
      <c r="F115" s="5" t="str">
        <f>IFERROR(__xludf.DUMMYFUNCTION("JOIN("", "",ARRAYFORMULA(IFERROR(VLOOKUP(VALUE(TRIM(SPLIT(D115,"",""))), QUERY(goles!A:C,""select A, sum(C) where B='""&amp;A115&amp;""' group by A""),2,FALSE),0)))"),"2")</f>
        <v>2</v>
      </c>
      <c r="G115" s="5" t="s">
        <v>59</v>
      </c>
      <c r="H115" s="5" t="s">
        <v>25</v>
      </c>
      <c r="I115" s="7">
        <v>1795.0</v>
      </c>
      <c r="J115" s="6" t="s">
        <v>646</v>
      </c>
      <c r="K115" s="5" t="s">
        <v>35</v>
      </c>
      <c r="L115" s="5" t="s">
        <v>35</v>
      </c>
      <c r="M115" s="5" t="s">
        <v>25</v>
      </c>
      <c r="N115" s="9" t="s">
        <v>36</v>
      </c>
      <c r="O115" s="9" t="s">
        <v>37</v>
      </c>
      <c r="P115" s="10">
        <v>-34.89453803</v>
      </c>
      <c r="Q115" s="10">
        <v>-56.15278107</v>
      </c>
      <c r="R115" s="5" t="s">
        <v>647</v>
      </c>
      <c r="S115" s="14" t="s">
        <v>648</v>
      </c>
      <c r="T115" s="12"/>
      <c r="U115" s="12"/>
    </row>
    <row r="116">
      <c r="A116" s="5" t="s">
        <v>649</v>
      </c>
      <c r="B116" s="5" t="s">
        <v>20</v>
      </c>
      <c r="C116" s="6">
        <v>1.0</v>
      </c>
      <c r="D116" s="6">
        <v>1930.0</v>
      </c>
      <c r="E116" s="5" t="str">
        <f>IFERROR(__xludf.DUMMYFUNCTION("TEXTJOIN("", "",TRUE,ARRAYFORMULA(IF(COUNTIFS(capitanes!A:A,SPLIT(D116,"",""),capitanes!B:B,A116)&gt;0,1,0)))"),"0")</f>
        <v>0</v>
      </c>
      <c r="F116" s="5" t="str">
        <f>IFERROR(__xludf.DUMMYFUNCTION("JOIN("", "",ARRAYFORMULA(IFERROR(VLOOKUP(VALUE(TRIM(SPLIT(D116,"",""))), QUERY(goles!A:C,""select A, sum(C) where B='""&amp;A116&amp;""' group by A""),2,FALSE),0)))"),"1")</f>
        <v>1</v>
      </c>
      <c r="G116" s="5" t="s">
        <v>59</v>
      </c>
      <c r="H116" s="5" t="s">
        <v>25</v>
      </c>
      <c r="I116" s="7" t="s">
        <v>650</v>
      </c>
      <c r="J116" s="22" t="s">
        <v>651</v>
      </c>
      <c r="K116" s="5" t="s">
        <v>35</v>
      </c>
      <c r="L116" s="5" t="s">
        <v>35</v>
      </c>
      <c r="M116" s="5" t="s">
        <v>25</v>
      </c>
      <c r="N116" s="9" t="s">
        <v>36</v>
      </c>
      <c r="O116" s="9" t="s">
        <v>37</v>
      </c>
      <c r="P116" s="10">
        <v>-34.89453803</v>
      </c>
      <c r="Q116" s="10">
        <v>-56.15278107</v>
      </c>
      <c r="R116" s="5" t="s">
        <v>652</v>
      </c>
      <c r="S116" s="14" t="s">
        <v>653</v>
      </c>
      <c r="T116" s="12"/>
      <c r="U116" s="12"/>
    </row>
    <row r="117">
      <c r="A117" s="5" t="s">
        <v>654</v>
      </c>
      <c r="B117" s="5" t="s">
        <v>31</v>
      </c>
      <c r="C117" s="6">
        <v>1.0</v>
      </c>
      <c r="D117" s="6">
        <v>1990.0</v>
      </c>
      <c r="E117" s="5" t="str">
        <f>IFERROR(__xludf.DUMMYFUNCTION("TEXTJOIN("", "",TRUE,ARRAYFORMULA(IF(COUNTIFS(capitanes!A:A,SPLIT(D117,"",""),capitanes!B:B,A117)&gt;0,1,0)))"),"0")</f>
        <v>0</v>
      </c>
      <c r="F117" s="5" t="str">
        <f>IFERROR(__xludf.DUMMYFUNCTION("JOIN("", "",ARRAYFORMULA(IFERROR(VLOOKUP(VALUE(TRIM(SPLIT(D117,"",""))), QUERY(goles!A:C,""select A, sum(C) where B='""&amp;A117&amp;""' group by A""),2,FALSE),0)))"),"0")</f>
        <v>0</v>
      </c>
      <c r="G117" s="5" t="s">
        <v>267</v>
      </c>
      <c r="H117" s="5" t="s">
        <v>22</v>
      </c>
      <c r="I117" s="7">
        <v>23748.0</v>
      </c>
      <c r="J117" s="8">
        <v>23894.0</v>
      </c>
      <c r="K117" s="5" t="s">
        <v>187</v>
      </c>
      <c r="L117" s="5" t="s">
        <v>187</v>
      </c>
      <c r="M117" s="5" t="s">
        <v>25</v>
      </c>
      <c r="N117" s="9" t="s">
        <v>188</v>
      </c>
      <c r="O117" s="9" t="s">
        <v>189</v>
      </c>
      <c r="P117" s="10">
        <v>-31.38663817</v>
      </c>
      <c r="Q117" s="10">
        <v>-57.93598627</v>
      </c>
      <c r="R117" s="5" t="s">
        <v>655</v>
      </c>
      <c r="S117" s="14" t="s">
        <v>656</v>
      </c>
      <c r="T117" s="12"/>
      <c r="U117" s="12"/>
    </row>
    <row r="118">
      <c r="A118" s="5" t="s">
        <v>657</v>
      </c>
      <c r="B118" s="5" t="s">
        <v>46</v>
      </c>
      <c r="C118" s="6">
        <v>1.0</v>
      </c>
      <c r="D118" s="6">
        <v>1954.0</v>
      </c>
      <c r="E118" s="5" t="str">
        <f>IFERROR(__xludf.DUMMYFUNCTION("TEXTJOIN("", "",TRUE,ARRAYFORMULA(IF(COUNTIFS(capitanes!A:A,SPLIT(D118,"",""),capitanes!B:B,A118)&gt;0,1,0)))"),"0")</f>
        <v>0</v>
      </c>
      <c r="F118" s="5" t="str">
        <f>IFERROR(__xludf.DUMMYFUNCTION("JOIN("", "",ARRAYFORMULA(IFERROR(VLOOKUP(VALUE(TRIM(SPLIT(D118,"",""))), QUERY(goles!A:C,""select A, sum(C) where B='""&amp;A118&amp;""' group by A""),2,FALSE),0)))"),"0")</f>
        <v>0</v>
      </c>
      <c r="G118" s="5" t="s">
        <v>59</v>
      </c>
      <c r="H118" s="5" t="s">
        <v>25</v>
      </c>
      <c r="I118" s="7">
        <v>10805.0</v>
      </c>
      <c r="J118" s="6" t="s">
        <v>658</v>
      </c>
      <c r="K118" s="5" t="s">
        <v>35</v>
      </c>
      <c r="L118" s="5" t="s">
        <v>35</v>
      </c>
      <c r="M118" s="5" t="s">
        <v>25</v>
      </c>
      <c r="N118" s="9" t="s">
        <v>36</v>
      </c>
      <c r="O118" s="9" t="s">
        <v>37</v>
      </c>
      <c r="P118" s="10">
        <v>-34.89453803</v>
      </c>
      <c r="Q118" s="10">
        <v>-56.15278107</v>
      </c>
      <c r="R118" s="5" t="s">
        <v>659</v>
      </c>
      <c r="S118" s="14" t="s">
        <v>660</v>
      </c>
      <c r="T118" s="12"/>
      <c r="U118" s="12"/>
    </row>
    <row r="119">
      <c r="A119" s="5" t="s">
        <v>661</v>
      </c>
      <c r="B119" s="5" t="s">
        <v>20</v>
      </c>
      <c r="C119" s="6">
        <v>2.0</v>
      </c>
      <c r="D119" s="5" t="s">
        <v>284</v>
      </c>
      <c r="E119" s="5" t="str">
        <f>IFERROR(__xludf.DUMMYFUNCTION("TEXTJOIN("", "",TRUE,ARRAYFORMULA(IF(COUNTIFS(capitanes!A:A,SPLIT(D119,"",""),capitanes!B:B,A119)&gt;0,1,0)))"),"0, 0")</f>
        <v>0, 0</v>
      </c>
      <c r="F119" s="5" t="str">
        <f>IFERROR(__xludf.DUMMYFUNCTION("JOIN("", "",ARRAYFORMULA(IFERROR(VLOOKUP(VALUE(TRIM(SPLIT(D119,"",""))), QUERY(goles!A:C,""select A, sum(C) where B='""&amp;A119&amp;""' group by A""),2,FALSE),0)))"),"2, 0")</f>
        <v>2, 0</v>
      </c>
      <c r="G119" s="5" t="s">
        <v>662</v>
      </c>
      <c r="H119" s="5" t="s">
        <v>663</v>
      </c>
      <c r="I119" s="7">
        <v>12415.0</v>
      </c>
      <c r="J119" s="6" t="s">
        <v>664</v>
      </c>
      <c r="K119" s="5" t="s">
        <v>228</v>
      </c>
      <c r="L119" s="5" t="s">
        <v>228</v>
      </c>
      <c r="M119" s="5" t="s">
        <v>25</v>
      </c>
      <c r="N119" s="9" t="s">
        <v>229</v>
      </c>
      <c r="O119" s="9" t="s">
        <v>230</v>
      </c>
      <c r="P119" s="10">
        <v>-33.22102512</v>
      </c>
      <c r="Q119" s="10">
        <v>-54.3753045</v>
      </c>
      <c r="R119" s="5" t="s">
        <v>665</v>
      </c>
      <c r="S119" s="14" t="s">
        <v>666</v>
      </c>
      <c r="T119" s="12"/>
      <c r="U119" s="12"/>
    </row>
    <row r="120">
      <c r="A120" s="5" t="s">
        <v>667</v>
      </c>
      <c r="B120" s="5" t="s">
        <v>20</v>
      </c>
      <c r="C120" s="6">
        <v>1.0</v>
      </c>
      <c r="D120" s="6">
        <v>1966.0</v>
      </c>
      <c r="E120" s="5" t="str">
        <f>IFERROR(__xludf.DUMMYFUNCTION("TEXTJOIN("", "",TRUE,ARRAYFORMULA(IF(COUNTIFS(capitanes!A:A,SPLIT(D120,"",""),capitanes!B:B,A120)&gt;0,1,0)))"),"0")</f>
        <v>0</v>
      </c>
      <c r="F120" s="5" t="str">
        <f>IFERROR(__xludf.DUMMYFUNCTION("JOIN("", "",ARRAYFORMULA(IFERROR(VLOOKUP(VALUE(TRIM(SPLIT(D120,"",""))), QUERY(goles!A:C,""select A, sum(C) where B='""&amp;A120&amp;""' group by A""),2,FALSE),0)))"),"0")</f>
        <v>0</v>
      </c>
      <c r="G120" s="5" t="s">
        <v>59</v>
      </c>
      <c r="H120" s="5" t="s">
        <v>25</v>
      </c>
      <c r="I120" s="7">
        <v>16309.0</v>
      </c>
      <c r="J120" s="6" t="s">
        <v>668</v>
      </c>
      <c r="K120" s="5" t="s">
        <v>35</v>
      </c>
      <c r="L120" s="5" t="s">
        <v>35</v>
      </c>
      <c r="M120" s="5" t="s">
        <v>25</v>
      </c>
      <c r="N120" s="9" t="s">
        <v>36</v>
      </c>
      <c r="O120" s="9" t="s">
        <v>37</v>
      </c>
      <c r="P120" s="10">
        <v>-34.89453803</v>
      </c>
      <c r="Q120" s="10">
        <v>-56.15278107</v>
      </c>
      <c r="R120" s="11" t="s">
        <v>669</v>
      </c>
      <c r="S120" s="11" t="s">
        <v>670</v>
      </c>
      <c r="T120" s="12"/>
      <c r="U120" s="12"/>
    </row>
    <row r="121">
      <c r="A121" s="5" t="s">
        <v>671</v>
      </c>
      <c r="B121" s="5" t="s">
        <v>20</v>
      </c>
      <c r="C121" s="6">
        <v>2.0</v>
      </c>
      <c r="D121" s="5" t="s">
        <v>370</v>
      </c>
      <c r="E121" s="5" t="str">
        <f>IFERROR(__xludf.DUMMYFUNCTION("TEXTJOIN("", "",TRUE,ARRAYFORMULA(IF(COUNTIFS(capitanes!A:A,SPLIT(D121,"",""),capitanes!B:B,A121)&gt;0,1,0)))"),"0, 0")</f>
        <v>0, 0</v>
      </c>
      <c r="F121" s="5" t="str">
        <f>IFERROR(__xludf.DUMMYFUNCTION("JOIN("", "",ARRAYFORMULA(IFERROR(VLOOKUP(VALUE(TRIM(SPLIT(D121,"",""))), QUERY(goles!A:C,""select A, sum(C) where B='""&amp;A121&amp;""' group by A""),2,FALSE),0)))"),"3, 2")</f>
        <v>3, 2</v>
      </c>
      <c r="G121" s="5" t="s">
        <v>672</v>
      </c>
      <c r="H121" s="5" t="s">
        <v>663</v>
      </c>
      <c r="I121" s="7">
        <v>9341.0</v>
      </c>
      <c r="J121" s="6" t="s">
        <v>673</v>
      </c>
      <c r="K121" s="5" t="s">
        <v>35</v>
      </c>
      <c r="L121" s="5" t="s">
        <v>35</v>
      </c>
      <c r="M121" s="5" t="s">
        <v>25</v>
      </c>
      <c r="N121" s="9" t="s">
        <v>36</v>
      </c>
      <c r="O121" s="9" t="s">
        <v>37</v>
      </c>
      <c r="P121" s="10">
        <v>-34.89453803</v>
      </c>
      <c r="Q121" s="10">
        <v>-56.15278107</v>
      </c>
      <c r="R121" s="14" t="s">
        <v>674</v>
      </c>
      <c r="S121" s="14" t="s">
        <v>675</v>
      </c>
      <c r="T121" s="12"/>
      <c r="U121" s="12"/>
    </row>
    <row r="122">
      <c r="A122" s="5" t="s">
        <v>676</v>
      </c>
      <c r="B122" s="5" t="s">
        <v>20</v>
      </c>
      <c r="C122" s="6">
        <v>1.0</v>
      </c>
      <c r="D122" s="6">
        <v>1950.0</v>
      </c>
      <c r="E122" s="5" t="str">
        <f>IFERROR(__xludf.DUMMYFUNCTION("TEXTJOIN("", "",TRUE,ARRAYFORMULA(IF(COUNTIFS(capitanes!A:A,SPLIT(D122,"",""),capitanes!B:B,A122)&gt;0,1,0)))"),"0")</f>
        <v>0</v>
      </c>
      <c r="F122" s="5" t="str">
        <f>IFERROR(__xludf.DUMMYFUNCTION("JOIN("", "",ARRAYFORMULA(IFERROR(VLOOKUP(VALUE(TRIM(SPLIT(D122,"",""))), QUERY(goles!A:C,""select A, sum(C) where B='""&amp;A122&amp;""' group by A""),2,FALSE),0)))"),"0")</f>
        <v>0</v>
      </c>
      <c r="G122" s="5" t="s">
        <v>41</v>
      </c>
      <c r="H122" s="5" t="s">
        <v>25</v>
      </c>
      <c r="I122" s="7">
        <v>8436.0</v>
      </c>
      <c r="J122" s="8">
        <v>8493.0</v>
      </c>
      <c r="K122" s="5" t="s">
        <v>35</v>
      </c>
      <c r="L122" s="5" t="s">
        <v>35</v>
      </c>
      <c r="M122" s="5" t="s">
        <v>25</v>
      </c>
      <c r="N122" s="9" t="s">
        <v>36</v>
      </c>
      <c r="O122" s="9" t="s">
        <v>37</v>
      </c>
      <c r="P122" s="10">
        <v>-34.89453803</v>
      </c>
      <c r="Q122" s="10">
        <v>-56.15278107</v>
      </c>
      <c r="R122" s="5" t="s">
        <v>677</v>
      </c>
      <c r="S122" s="24" t="s">
        <v>678</v>
      </c>
      <c r="T122" s="12"/>
      <c r="U122" s="12"/>
    </row>
    <row r="123">
      <c r="A123" s="5" t="s">
        <v>679</v>
      </c>
      <c r="B123" s="5" t="s">
        <v>20</v>
      </c>
      <c r="C123" s="6">
        <v>1.0</v>
      </c>
      <c r="D123" s="6">
        <v>1930.0</v>
      </c>
      <c r="E123" s="5" t="str">
        <f>IFERROR(__xludf.DUMMYFUNCTION("TEXTJOIN("", "",TRUE,ARRAYFORMULA(IF(COUNTIFS(capitanes!A:A,SPLIT(D123,"",""),capitanes!B:B,A123)&gt;0,1,0)))"),"0")</f>
        <v>0</v>
      </c>
      <c r="F123" s="5" t="str">
        <f>IFERROR(__xludf.DUMMYFUNCTION("JOIN("", "",ARRAYFORMULA(IFERROR(VLOOKUP(VALUE(TRIM(SPLIT(D123,"",""))), QUERY(goles!A:C,""select A, sum(C) where B='""&amp;A123&amp;""' group by A""),2,FALSE),0)))"),"5")</f>
        <v>5</v>
      </c>
      <c r="G123" s="5" t="s">
        <v>59</v>
      </c>
      <c r="H123" s="5" t="s">
        <v>25</v>
      </c>
      <c r="I123" s="7">
        <v>245.0</v>
      </c>
      <c r="J123" s="8">
        <v>10.0</v>
      </c>
      <c r="K123" s="5" t="s">
        <v>289</v>
      </c>
      <c r="L123" s="20"/>
      <c r="M123" s="5" t="s">
        <v>227</v>
      </c>
      <c r="N123" s="9" t="s">
        <v>290</v>
      </c>
      <c r="O123" s="9" t="s">
        <v>291</v>
      </c>
      <c r="P123" s="21"/>
      <c r="Q123" s="21"/>
      <c r="R123" s="5" t="s">
        <v>680</v>
      </c>
      <c r="S123" s="14" t="s">
        <v>681</v>
      </c>
      <c r="T123" s="12"/>
      <c r="U123" s="12"/>
    </row>
    <row r="124">
      <c r="A124" s="5" t="s">
        <v>682</v>
      </c>
      <c r="B124" s="5" t="s">
        <v>31</v>
      </c>
      <c r="C124" s="6">
        <v>1.0</v>
      </c>
      <c r="D124" s="6">
        <v>1950.0</v>
      </c>
      <c r="E124" s="5" t="str">
        <f>IFERROR(__xludf.DUMMYFUNCTION("TEXTJOIN("", "",TRUE,ARRAYFORMULA(IF(COUNTIFS(capitanes!A:A,SPLIT(D124,"",""),capitanes!B:B,A124)&gt;0,1,0)))"),"0")</f>
        <v>0</v>
      </c>
      <c r="F124" s="5" t="str">
        <f>IFERROR(__xludf.DUMMYFUNCTION("JOIN("", "",ARRAYFORMULA(IFERROR(VLOOKUP(VALUE(TRIM(SPLIT(D124,"",""))), QUERY(goles!A:C,""select A, sum(C) where B='""&amp;A124&amp;""' group by A""),2,FALSE),0)))"),"0")</f>
        <v>0</v>
      </c>
      <c r="G124" s="5" t="s">
        <v>54</v>
      </c>
      <c r="H124" s="5" t="s">
        <v>25</v>
      </c>
      <c r="I124" s="7">
        <v>9001.0</v>
      </c>
      <c r="J124" s="6" t="s">
        <v>683</v>
      </c>
      <c r="K124" s="5" t="s">
        <v>297</v>
      </c>
      <c r="L124" s="5" t="s">
        <v>74</v>
      </c>
      <c r="M124" s="5" t="s">
        <v>25</v>
      </c>
      <c r="N124" s="9" t="s">
        <v>298</v>
      </c>
      <c r="O124" s="9" t="s">
        <v>299</v>
      </c>
      <c r="P124" s="10">
        <v>-34.46709516</v>
      </c>
      <c r="Q124" s="10">
        <v>-57.84566773</v>
      </c>
      <c r="R124" s="5" t="s">
        <v>684</v>
      </c>
      <c r="S124" s="24" t="s">
        <v>685</v>
      </c>
      <c r="T124" s="12"/>
      <c r="U124" s="12"/>
    </row>
    <row r="125">
      <c r="A125" s="5" t="s">
        <v>686</v>
      </c>
      <c r="B125" s="5" t="s">
        <v>46</v>
      </c>
      <c r="C125" s="6">
        <v>1.0</v>
      </c>
      <c r="D125" s="6">
        <v>1974.0</v>
      </c>
      <c r="E125" s="5" t="str">
        <f>IFERROR(__xludf.DUMMYFUNCTION("TEXTJOIN("", "",TRUE,ARRAYFORMULA(IF(COUNTIFS(capitanes!A:A,SPLIT(D125,"",""),capitanes!B:B,A125)&gt;0,1,0)))"),"0")</f>
        <v>0</v>
      </c>
      <c r="F125" s="5" t="str">
        <f>IFERROR(__xludf.DUMMYFUNCTION("JOIN("", "",ARRAYFORMULA(IFERROR(VLOOKUP(VALUE(TRIM(SPLIT(D125,"",""))), QUERY(goles!A:C,""select A, sum(C) where B='""&amp;A125&amp;""' group by A""),2,FALSE),0)))"),"0")</f>
        <v>0</v>
      </c>
      <c r="G125" s="5" t="s">
        <v>59</v>
      </c>
      <c r="H125" s="5" t="s">
        <v>25</v>
      </c>
      <c r="I125" s="7">
        <v>15767.0</v>
      </c>
      <c r="J125" s="8">
        <v>15740.0</v>
      </c>
      <c r="K125" s="5" t="s">
        <v>687</v>
      </c>
      <c r="L125" s="5" t="s">
        <v>108</v>
      </c>
      <c r="M125" s="5" t="s">
        <v>25</v>
      </c>
      <c r="N125" s="9" t="s">
        <v>688</v>
      </c>
      <c r="O125" s="9" t="s">
        <v>689</v>
      </c>
      <c r="P125" s="10">
        <v>-33.25788253</v>
      </c>
      <c r="Q125" s="10">
        <v>-58.02286996</v>
      </c>
      <c r="R125" s="14" t="s">
        <v>690</v>
      </c>
      <c r="S125" s="14" t="s">
        <v>691</v>
      </c>
      <c r="T125" s="12"/>
      <c r="U125" s="12"/>
    </row>
    <row r="126">
      <c r="A126" s="5" t="s">
        <v>692</v>
      </c>
      <c r="B126" s="5" t="s">
        <v>117</v>
      </c>
      <c r="C126" s="6">
        <v>1.0</v>
      </c>
      <c r="D126" s="6">
        <v>2010.0</v>
      </c>
      <c r="E126" s="5" t="str">
        <f>IFERROR(__xludf.DUMMYFUNCTION("TEXTJOIN("", "",TRUE,ARRAYFORMULA(IF(COUNTIFS(capitanes!A:A,SPLIT(D126,"",""),capitanes!B:B,A126)&gt;0,1,0)))"),"0")</f>
        <v>0</v>
      </c>
      <c r="F126" s="5" t="str">
        <f>IFERROR(__xludf.DUMMYFUNCTION("JOIN("", "",ARRAYFORMULA(IFERROR(VLOOKUP(VALUE(TRIM(SPLIT(D126,"",""))), QUERY(goles!A:C,""select A, sum(C) where B='""&amp;A126&amp;""' group by A""),2,FALSE),0)))"),"0")</f>
        <v>0</v>
      </c>
      <c r="G126" s="5" t="s">
        <v>693</v>
      </c>
      <c r="H126" s="5" t="s">
        <v>694</v>
      </c>
      <c r="I126" s="7">
        <v>28597.0</v>
      </c>
      <c r="J126" s="6" t="s">
        <v>695</v>
      </c>
      <c r="K126" s="5" t="s">
        <v>65</v>
      </c>
      <c r="L126" s="5" t="s">
        <v>65</v>
      </c>
      <c r="M126" s="5" t="s">
        <v>25</v>
      </c>
      <c r="N126" s="9" t="s">
        <v>66</v>
      </c>
      <c r="O126" s="9" t="s">
        <v>67</v>
      </c>
      <c r="P126" s="10">
        <v>-33.37300132</v>
      </c>
      <c r="Q126" s="10">
        <v>-56.51934411</v>
      </c>
      <c r="R126" s="14" t="s">
        <v>696</v>
      </c>
      <c r="S126" s="14" t="s">
        <v>697</v>
      </c>
      <c r="T126" s="12"/>
      <c r="U126" s="12"/>
    </row>
    <row r="127">
      <c r="A127" s="5" t="s">
        <v>698</v>
      </c>
      <c r="B127" s="5" t="s">
        <v>20</v>
      </c>
      <c r="C127" s="6">
        <v>1.0</v>
      </c>
      <c r="D127" s="6">
        <v>1954.0</v>
      </c>
      <c r="E127" s="5" t="str">
        <f>IFERROR(__xludf.DUMMYFUNCTION("TEXTJOIN("", "",TRUE,ARRAYFORMULA(IF(COUNTIFS(capitanes!A:A,SPLIT(D127,"",""),capitanes!B:B,A127)&gt;0,1,0)))"),"0")</f>
        <v>0</v>
      </c>
      <c r="F127" s="5" t="str">
        <f>IFERROR(__xludf.DUMMYFUNCTION("JOIN("", "",ARRAYFORMULA(IFERROR(VLOOKUP(VALUE(TRIM(SPLIT(D127,"",""))), QUERY(goles!A:C,""select A, sum(C) where B='""&amp;A127&amp;""' group by A""),2,FALSE),0)))"),"0")</f>
        <v>0</v>
      </c>
      <c r="G127" s="5" t="s">
        <v>54</v>
      </c>
      <c r="H127" s="5" t="s">
        <v>25</v>
      </c>
      <c r="I127" s="7">
        <v>10143.0</v>
      </c>
      <c r="J127" s="8">
        <v>10084.0</v>
      </c>
      <c r="K127" s="5" t="s">
        <v>699</v>
      </c>
      <c r="L127" s="20"/>
      <c r="M127" s="5" t="s">
        <v>136</v>
      </c>
      <c r="N127" s="9" t="s">
        <v>700</v>
      </c>
      <c r="O127" s="9" t="s">
        <v>701</v>
      </c>
      <c r="P127" s="21"/>
      <c r="Q127" s="21"/>
      <c r="R127" s="14" t="s">
        <v>702</v>
      </c>
      <c r="S127" s="14" t="s">
        <v>703</v>
      </c>
      <c r="T127" s="12"/>
      <c r="U127" s="12"/>
    </row>
    <row r="128">
      <c r="A128" s="16" t="s">
        <v>704</v>
      </c>
      <c r="B128" s="16" t="s">
        <v>31</v>
      </c>
      <c r="C128" s="16">
        <v>1.0</v>
      </c>
      <c r="D128" s="16">
        <v>2026.0</v>
      </c>
      <c r="E128" s="5" t="str">
        <f>IFERROR(__xludf.DUMMYFUNCTION("TEXTJOIN("", "",TRUE,ARRAYFORMULA(IF(COUNTIFS(capitanes!A:A,SPLIT(D128,"",""),capitanes!B:B,A128)&gt;0,1,0)))"),"0")</f>
        <v>0</v>
      </c>
      <c r="F128" s="5" t="str">
        <f>IFERROR(__xludf.DUMMYFUNCTION("JOIN("", "",ARRAYFORMULA(IFERROR(VLOOKUP(VALUE(TRIM(SPLIT(D128,"",""))), QUERY(goles!A:C,""select A, sum(C) where B='""&amp;A128&amp;""' group by A""),2,FALSE),0)))"),"0")</f>
        <v>0</v>
      </c>
      <c r="G128" s="16" t="s">
        <v>705</v>
      </c>
      <c r="H128" s="16" t="s">
        <v>397</v>
      </c>
      <c r="I128" s="17">
        <v>36614.0</v>
      </c>
      <c r="J128" s="16" t="s">
        <v>706</v>
      </c>
      <c r="K128" s="16" t="s">
        <v>129</v>
      </c>
      <c r="L128" s="16" t="s">
        <v>129</v>
      </c>
      <c r="M128" s="16" t="s">
        <v>25</v>
      </c>
      <c r="N128" s="9" t="s">
        <v>130</v>
      </c>
      <c r="O128" s="9" t="s">
        <v>131</v>
      </c>
      <c r="P128" s="10">
        <v>-34.10461508</v>
      </c>
      <c r="Q128" s="10">
        <v>-56.20767326</v>
      </c>
      <c r="R128" s="19" t="s">
        <v>707</v>
      </c>
      <c r="S128" s="19" t="s">
        <v>708</v>
      </c>
      <c r="T128" s="12"/>
      <c r="U128" s="12"/>
    </row>
    <row r="129">
      <c r="A129" s="5" t="s">
        <v>709</v>
      </c>
      <c r="B129" s="5" t="s">
        <v>46</v>
      </c>
      <c r="C129" s="6">
        <v>1.0</v>
      </c>
      <c r="D129" s="6">
        <v>1970.0</v>
      </c>
      <c r="E129" s="5" t="str">
        <f>IFERROR(__xludf.DUMMYFUNCTION("TEXTJOIN("", "",TRUE,ARRAYFORMULA(IF(COUNTIFS(capitanes!A:A,SPLIT(D129,"",""),capitanes!B:B,A129)&gt;0,1,0)))"),"0")</f>
        <v>0</v>
      </c>
      <c r="F129" s="5" t="str">
        <f>IFERROR(__xludf.DUMMYFUNCTION("JOIN("", "",ARRAYFORMULA(IFERROR(VLOOKUP(VALUE(TRIM(SPLIT(D129,"",""))), QUERY(goles!A:C,""select A, sum(C) where B='""&amp;A129&amp;""' group by A""),2,FALSE),0)))"),"1")</f>
        <v>1</v>
      </c>
      <c r="G129" s="5" t="s">
        <v>59</v>
      </c>
      <c r="H129" s="5" t="s">
        <v>25</v>
      </c>
      <c r="I129" s="7">
        <v>16062.0</v>
      </c>
      <c r="J129" s="6" t="s">
        <v>710</v>
      </c>
      <c r="K129" s="5" t="s">
        <v>711</v>
      </c>
      <c r="L129" s="5" t="s">
        <v>48</v>
      </c>
      <c r="M129" s="5" t="s">
        <v>25</v>
      </c>
      <c r="N129" s="9" t="s">
        <v>712</v>
      </c>
      <c r="O129" s="9" t="s">
        <v>713</v>
      </c>
      <c r="P129" s="10">
        <v>-32.39914144</v>
      </c>
      <c r="Q129" s="10">
        <v>-58.15804108</v>
      </c>
      <c r="R129" s="5" t="s">
        <v>714</v>
      </c>
      <c r="S129" s="14" t="s">
        <v>715</v>
      </c>
      <c r="T129" s="12"/>
      <c r="U129" s="12"/>
    </row>
    <row r="130">
      <c r="A130" s="5" t="s">
        <v>716</v>
      </c>
      <c r="B130" s="5" t="s">
        <v>20</v>
      </c>
      <c r="C130" s="6">
        <v>1.0</v>
      </c>
      <c r="D130" s="6">
        <v>1930.0</v>
      </c>
      <c r="E130" s="5" t="str">
        <f>IFERROR(__xludf.DUMMYFUNCTION("TEXTJOIN("", "",TRUE,ARRAYFORMULA(IF(COUNTIFS(capitanes!A:A,SPLIT(D130,"",""),capitanes!B:B,A130)&gt;0,1,0)))"),"0")</f>
        <v>0</v>
      </c>
      <c r="F130" s="5" t="str">
        <f>IFERROR(__xludf.DUMMYFUNCTION("JOIN("", "",ARRAYFORMULA(IFERROR(VLOOKUP(VALUE(TRIM(SPLIT(D130,"",""))), QUERY(goles!A:C,""select A, sum(C) where B='""&amp;A130&amp;""' group by A""),2,FALSE),0)))"),"0")</f>
        <v>0</v>
      </c>
      <c r="G130" s="5" t="s">
        <v>717</v>
      </c>
      <c r="H130" s="5" t="s">
        <v>25</v>
      </c>
      <c r="I130" s="7">
        <v>2369.0</v>
      </c>
      <c r="J130" s="6" t="s">
        <v>718</v>
      </c>
      <c r="K130" s="5" t="s">
        <v>35</v>
      </c>
      <c r="L130" s="5" t="s">
        <v>35</v>
      </c>
      <c r="M130" s="5" t="s">
        <v>25</v>
      </c>
      <c r="N130" s="9" t="s">
        <v>36</v>
      </c>
      <c r="O130" s="9" t="s">
        <v>37</v>
      </c>
      <c r="P130" s="10">
        <v>-34.89453803</v>
      </c>
      <c r="Q130" s="10">
        <v>-56.15278107</v>
      </c>
      <c r="R130" s="14" t="s">
        <v>719</v>
      </c>
      <c r="S130" s="25" t="s">
        <v>720</v>
      </c>
      <c r="T130" s="12"/>
      <c r="U130" s="12"/>
    </row>
    <row r="131">
      <c r="A131" s="5" t="s">
        <v>721</v>
      </c>
      <c r="B131" s="5" t="s">
        <v>20</v>
      </c>
      <c r="C131" s="6">
        <v>1.0</v>
      </c>
      <c r="D131" s="6">
        <v>1974.0</v>
      </c>
      <c r="E131" s="5" t="str">
        <f>IFERROR(__xludf.DUMMYFUNCTION("TEXTJOIN("", "",TRUE,ARRAYFORMULA(IF(COUNTIFS(capitanes!A:A,SPLIT(D131,"",""),capitanes!B:B,A131)&gt;0,1,0)))"),"0")</f>
        <v>0</v>
      </c>
      <c r="F131" s="5" t="str">
        <f>IFERROR(__xludf.DUMMYFUNCTION("JOIN("", "",ARRAYFORMULA(IFERROR(VLOOKUP(VALUE(TRIM(SPLIT(D131,"",""))), QUERY(goles!A:C,""select A, sum(C) where B='""&amp;A131&amp;""' group by A""),2,FALSE),0)))"),"0")</f>
        <v>0</v>
      </c>
      <c r="G131" s="5" t="s">
        <v>54</v>
      </c>
      <c r="H131" s="5" t="s">
        <v>25</v>
      </c>
      <c r="I131" s="7">
        <v>17750.0</v>
      </c>
      <c r="J131" s="8">
        <v>17661.0</v>
      </c>
      <c r="K131" s="5" t="s">
        <v>383</v>
      </c>
      <c r="L131" s="5" t="s">
        <v>384</v>
      </c>
      <c r="M131" s="5" t="s">
        <v>25</v>
      </c>
      <c r="N131" s="9" t="s">
        <v>385</v>
      </c>
      <c r="O131" s="9" t="s">
        <v>386</v>
      </c>
      <c r="P131" s="10">
        <v>-32.81147342</v>
      </c>
      <c r="Q131" s="10">
        <v>-56.50741948</v>
      </c>
      <c r="R131" s="5" t="s">
        <v>722</v>
      </c>
      <c r="S131" s="14" t="s">
        <v>723</v>
      </c>
      <c r="T131" s="12"/>
      <c r="U131" s="12"/>
    </row>
    <row r="132">
      <c r="A132" s="5" t="s">
        <v>724</v>
      </c>
      <c r="B132" s="5" t="s">
        <v>20</v>
      </c>
      <c r="C132" s="6">
        <v>1.0</v>
      </c>
      <c r="D132" s="6">
        <v>1954.0</v>
      </c>
      <c r="E132" s="5" t="str">
        <f>IFERROR(__xludf.DUMMYFUNCTION("TEXTJOIN("", "",TRUE,ARRAYFORMULA(IF(COUNTIFS(capitanes!A:A,SPLIT(D132,"",""),capitanes!B:B,A132)&gt;0,1,0)))"),"0")</f>
        <v>0</v>
      </c>
      <c r="F132" s="5" t="str">
        <f>IFERROR(__xludf.DUMMYFUNCTION("JOIN("", "",ARRAYFORMULA(IFERROR(VLOOKUP(VALUE(TRIM(SPLIT(D132,"",""))), QUERY(goles!A:C,""select A, sum(C) where B='""&amp;A132&amp;""' group by A""),2,FALSE),0)))"),"2")</f>
        <v>2</v>
      </c>
      <c r="G132" s="5" t="s">
        <v>54</v>
      </c>
      <c r="H132" s="5" t="s">
        <v>25</v>
      </c>
      <c r="I132" s="5" t="s">
        <v>725</v>
      </c>
      <c r="J132" s="8">
        <v>11148.0</v>
      </c>
      <c r="K132" s="5" t="s">
        <v>726</v>
      </c>
      <c r="L132" s="5" t="s">
        <v>24</v>
      </c>
      <c r="M132" s="5" t="s">
        <v>25</v>
      </c>
      <c r="N132" s="9" t="s">
        <v>727</v>
      </c>
      <c r="O132" s="9" t="s">
        <v>728</v>
      </c>
      <c r="P132" s="10">
        <v>-34.29113777</v>
      </c>
      <c r="Q132" s="10">
        <v>-55.95145156</v>
      </c>
      <c r="R132" s="5" t="s">
        <v>729</v>
      </c>
      <c r="S132" s="14" t="s">
        <v>730</v>
      </c>
      <c r="T132" s="12"/>
      <c r="U132" s="12"/>
    </row>
    <row r="133">
      <c r="A133" s="5" t="s">
        <v>731</v>
      </c>
      <c r="B133" s="5" t="s">
        <v>20</v>
      </c>
      <c r="C133" s="6">
        <v>1.0</v>
      </c>
      <c r="D133" s="6">
        <v>1950.0</v>
      </c>
      <c r="E133" s="5" t="str">
        <f>IFERROR(__xludf.DUMMYFUNCTION("TEXTJOIN("", "",TRUE,ARRAYFORMULA(IF(COUNTIFS(capitanes!A:A,SPLIT(D133,"",""),capitanes!B:B,A133)&gt;0,1,0)))"),"0")</f>
        <v>0</v>
      </c>
      <c r="F133" s="5" t="str">
        <f>IFERROR(__xludf.DUMMYFUNCTION("JOIN("", "",ARRAYFORMULA(IFERROR(VLOOKUP(VALUE(TRIM(SPLIT(D133,"",""))), QUERY(goles!A:C,""select A, sum(C) where B='""&amp;A133&amp;""' group by A""),2,FALSE),0)))"),"0")</f>
        <v>0</v>
      </c>
      <c r="G133" s="5" t="s">
        <v>54</v>
      </c>
      <c r="H133" s="5" t="s">
        <v>25</v>
      </c>
      <c r="I133" s="7">
        <v>9635.0</v>
      </c>
      <c r="J133" s="6" t="s">
        <v>732</v>
      </c>
      <c r="K133" s="5" t="s">
        <v>35</v>
      </c>
      <c r="L133" s="5" t="s">
        <v>35</v>
      </c>
      <c r="M133" s="5" t="s">
        <v>25</v>
      </c>
      <c r="N133" s="9" t="s">
        <v>36</v>
      </c>
      <c r="O133" s="9" t="s">
        <v>37</v>
      </c>
      <c r="P133" s="10">
        <v>-34.89453803</v>
      </c>
      <c r="Q133" s="10">
        <v>-56.15278107</v>
      </c>
      <c r="R133" s="5" t="s">
        <v>733</v>
      </c>
      <c r="S133" s="24" t="s">
        <v>734</v>
      </c>
      <c r="T133" s="12"/>
      <c r="U133" s="12"/>
    </row>
    <row r="134">
      <c r="A134" s="5" t="s">
        <v>735</v>
      </c>
      <c r="B134" s="5" t="s">
        <v>31</v>
      </c>
      <c r="C134" s="6">
        <v>3.0</v>
      </c>
      <c r="D134" s="5" t="s">
        <v>736</v>
      </c>
      <c r="E134" s="5" t="str">
        <f>IFERROR(__xludf.DUMMYFUNCTION("TEXTJOIN("", "",TRUE,ARRAYFORMULA(IF(COUNTIFS(capitanes!A:A,SPLIT(D134,"",""),capitanes!B:B,A134)&gt;0,1,0)))"),"0, 0, 0")</f>
        <v>0, 0, 0</v>
      </c>
      <c r="F134" s="5" t="str">
        <f>IFERROR(__xludf.DUMMYFUNCTION("JOIN("", "",ARRAYFORMULA(IFERROR(VLOOKUP(VALUE(TRIM(SPLIT(D134,"",""))), QUERY(goles!A:C,""select A, sum(C) where B='""&amp;A134&amp;""' group by A""),2,FALSE),0)))"),"0, 1, 0")</f>
        <v>0, 1, 0</v>
      </c>
      <c r="G134" s="5" t="s">
        <v>737</v>
      </c>
      <c r="H134" s="5" t="s">
        <v>738</v>
      </c>
      <c r="I134" s="7">
        <v>15064.0</v>
      </c>
      <c r="J134" s="6" t="s">
        <v>739</v>
      </c>
      <c r="K134" s="5" t="s">
        <v>35</v>
      </c>
      <c r="L134" s="5" t="s">
        <v>35</v>
      </c>
      <c r="M134" s="5" t="s">
        <v>25</v>
      </c>
      <c r="N134" s="9" t="s">
        <v>36</v>
      </c>
      <c r="O134" s="9" t="s">
        <v>37</v>
      </c>
      <c r="P134" s="10">
        <v>-34.89453803</v>
      </c>
      <c r="Q134" s="10">
        <v>-56.15278107</v>
      </c>
      <c r="R134" s="5" t="s">
        <v>740</v>
      </c>
      <c r="S134" s="14" t="s">
        <v>741</v>
      </c>
      <c r="T134" s="12"/>
      <c r="U134" s="12"/>
    </row>
    <row r="135">
      <c r="A135" s="5" t="s">
        <v>742</v>
      </c>
      <c r="B135" s="5" t="s">
        <v>31</v>
      </c>
      <c r="C135" s="6">
        <v>1.0</v>
      </c>
      <c r="D135" s="6">
        <v>1974.0</v>
      </c>
      <c r="E135" s="5" t="str">
        <f>IFERROR(__xludf.DUMMYFUNCTION("TEXTJOIN("", "",TRUE,ARRAYFORMULA(IF(COUNTIFS(capitanes!A:A,SPLIT(D135,"",""),capitanes!B:B,A135)&gt;0,1,0)))"),"0")</f>
        <v>0</v>
      </c>
      <c r="F135" s="5" t="str">
        <f>IFERROR(__xludf.DUMMYFUNCTION("JOIN("", "",ARRAYFORMULA(IFERROR(VLOOKUP(VALUE(TRIM(SPLIT(D135,"",""))), QUERY(goles!A:C,""select A, sum(C) where B='""&amp;A135&amp;""' group by A""),2,FALSE),0)))"),"0")</f>
        <v>0</v>
      </c>
      <c r="G135" s="5" t="s">
        <v>54</v>
      </c>
      <c r="H135" s="5" t="s">
        <v>25</v>
      </c>
      <c r="I135" s="7">
        <v>19963.0</v>
      </c>
      <c r="J135" s="6" t="s">
        <v>743</v>
      </c>
      <c r="K135" s="5" t="s">
        <v>237</v>
      </c>
      <c r="L135" s="5" t="s">
        <v>237</v>
      </c>
      <c r="M135" s="5" t="s">
        <v>25</v>
      </c>
      <c r="N135" s="9" t="s">
        <v>238</v>
      </c>
      <c r="O135" s="9" t="s">
        <v>239</v>
      </c>
      <c r="P135" s="10">
        <v>-30.39450316</v>
      </c>
      <c r="Q135" s="10">
        <v>-56.45750082</v>
      </c>
      <c r="R135" s="5" t="s">
        <v>744</v>
      </c>
      <c r="S135" s="24" t="s">
        <v>745</v>
      </c>
      <c r="T135" s="12"/>
      <c r="U135" s="12"/>
    </row>
    <row r="136">
      <c r="A136" s="5" t="s">
        <v>746</v>
      </c>
      <c r="B136" s="5" t="s">
        <v>20</v>
      </c>
      <c r="C136" s="6">
        <v>1.0</v>
      </c>
      <c r="D136" s="6">
        <v>1970.0</v>
      </c>
      <c r="E136" s="5" t="str">
        <f>IFERROR(__xludf.DUMMYFUNCTION("TEXTJOIN("", "",TRUE,ARRAYFORMULA(IF(COUNTIFS(capitanes!A:A,SPLIT(D136,"",""),capitanes!B:B,A136)&gt;0,1,0)))"),"0")</f>
        <v>0</v>
      </c>
      <c r="F136" s="5" t="str">
        <f>IFERROR(__xludf.DUMMYFUNCTION("JOIN("", "",ARRAYFORMULA(IFERROR(VLOOKUP(VALUE(TRIM(SPLIT(D136,"",""))), QUERY(goles!A:C,""select A, sum(C) where B='""&amp;A136&amp;""' group by A""),2,FALSE),0)))"),"0")</f>
        <v>0</v>
      </c>
      <c r="G136" s="5" t="s">
        <v>59</v>
      </c>
      <c r="H136" s="5" t="s">
        <v>25</v>
      </c>
      <c r="I136" s="7">
        <v>16484.0</v>
      </c>
      <c r="J136" s="6" t="s">
        <v>747</v>
      </c>
      <c r="K136" s="5" t="s">
        <v>35</v>
      </c>
      <c r="L136" s="5" t="s">
        <v>35</v>
      </c>
      <c r="M136" s="5" t="s">
        <v>25</v>
      </c>
      <c r="N136" s="9" t="s">
        <v>36</v>
      </c>
      <c r="O136" s="9" t="s">
        <v>37</v>
      </c>
      <c r="P136" s="10">
        <v>-34.89453803</v>
      </c>
      <c r="Q136" s="10">
        <v>-56.15278107</v>
      </c>
      <c r="R136" s="5" t="s">
        <v>748</v>
      </c>
      <c r="S136" s="14" t="s">
        <v>749</v>
      </c>
      <c r="T136" s="12"/>
      <c r="U136" s="12"/>
    </row>
    <row r="137">
      <c r="A137" s="5" t="s">
        <v>750</v>
      </c>
      <c r="B137" s="5" t="s">
        <v>20</v>
      </c>
      <c r="C137" s="6">
        <v>1.0</v>
      </c>
      <c r="D137" s="6">
        <v>1970.0</v>
      </c>
      <c r="E137" s="5" t="str">
        <f>IFERROR(__xludf.DUMMYFUNCTION("TEXTJOIN("", "",TRUE,ARRAYFORMULA(IF(COUNTIFS(capitanes!A:A,SPLIT(D137,"",""),capitanes!B:B,A137)&gt;0,1,0)))"),"0")</f>
        <v>0</v>
      </c>
      <c r="F137" s="5" t="str">
        <f>IFERROR(__xludf.DUMMYFUNCTION("JOIN("", "",ARRAYFORMULA(IFERROR(VLOOKUP(VALUE(TRIM(SPLIT(D137,"",""))), QUERY(goles!A:C,""select A, sum(C) where B='""&amp;A137&amp;""' group by A""),2,FALSE),0)))"),"0")</f>
        <v>0</v>
      </c>
      <c r="G137" s="5" t="s">
        <v>54</v>
      </c>
      <c r="H137" s="5" t="s">
        <v>25</v>
      </c>
      <c r="I137" s="7">
        <v>18430.0</v>
      </c>
      <c r="J137" s="6" t="s">
        <v>751</v>
      </c>
      <c r="K137" s="5" t="s">
        <v>35</v>
      </c>
      <c r="L137" s="5" t="s">
        <v>35</v>
      </c>
      <c r="M137" s="5" t="s">
        <v>25</v>
      </c>
      <c r="N137" s="9" t="s">
        <v>36</v>
      </c>
      <c r="O137" s="9" t="s">
        <v>37</v>
      </c>
      <c r="P137" s="10">
        <v>-34.89453803</v>
      </c>
      <c r="Q137" s="10">
        <v>-56.15278107</v>
      </c>
      <c r="R137" s="11" t="s">
        <v>752</v>
      </c>
      <c r="S137" s="11" t="s">
        <v>753</v>
      </c>
      <c r="T137" s="12"/>
      <c r="U137" s="12"/>
    </row>
    <row r="138">
      <c r="A138" s="5" t="s">
        <v>754</v>
      </c>
      <c r="B138" s="5" t="s">
        <v>117</v>
      </c>
      <c r="C138" s="6">
        <v>1.0</v>
      </c>
      <c r="D138" s="6">
        <v>1954.0</v>
      </c>
      <c r="E138" s="5" t="str">
        <f>IFERROR(__xludf.DUMMYFUNCTION("TEXTJOIN("", "",TRUE,ARRAYFORMULA(IF(COUNTIFS(capitanes!A:A,SPLIT(D138,"",""),capitanes!B:B,A138)&gt;0,1,0)))"),"0")</f>
        <v>0</v>
      </c>
      <c r="F138" s="5" t="str">
        <f>IFERROR(__xludf.DUMMYFUNCTION("JOIN("", "",ARRAYFORMULA(IFERROR(VLOOKUP(VALUE(TRIM(SPLIT(D138,"",""))), QUERY(goles!A:C,""select A, sum(C) where B='""&amp;A138&amp;""' group by A""),2,FALSE),0)))"),"0")</f>
        <v>0</v>
      </c>
      <c r="G138" s="5" t="s">
        <v>41</v>
      </c>
      <c r="H138" s="5" t="s">
        <v>25</v>
      </c>
      <c r="I138" s="7">
        <v>9609.0</v>
      </c>
      <c r="J138" s="6" t="s">
        <v>755</v>
      </c>
      <c r="K138" s="5" t="s">
        <v>35</v>
      </c>
      <c r="L138" s="5" t="s">
        <v>35</v>
      </c>
      <c r="M138" s="5" t="s">
        <v>25</v>
      </c>
      <c r="N138" s="9" t="s">
        <v>36</v>
      </c>
      <c r="O138" s="9" t="s">
        <v>37</v>
      </c>
      <c r="P138" s="10">
        <v>-34.89453803</v>
      </c>
      <c r="Q138" s="10">
        <v>-56.15278107</v>
      </c>
      <c r="R138" s="14" t="s">
        <v>756</v>
      </c>
      <c r="S138" s="24" t="s">
        <v>757</v>
      </c>
      <c r="T138" s="12"/>
      <c r="U138" s="12"/>
    </row>
    <row r="139">
      <c r="A139" s="5" t="s">
        <v>758</v>
      </c>
      <c r="B139" s="5" t="s">
        <v>31</v>
      </c>
      <c r="C139" s="6">
        <v>2.0</v>
      </c>
      <c r="D139" s="5" t="s">
        <v>526</v>
      </c>
      <c r="E139" s="5" t="str">
        <f>IFERROR(__xludf.DUMMYFUNCTION("TEXTJOIN("", "",TRUE,ARRAYFORMULA(IF(COUNTIFS(capitanes!A:A,SPLIT(D139,"",""),capitanes!B:B,A139)&gt;0,1,0)))"),"0, 0")</f>
        <v>0, 0</v>
      </c>
      <c r="F139" s="5" t="str">
        <f>IFERROR(__xludf.DUMMYFUNCTION("JOIN("", "",ARRAYFORMULA(IFERROR(VLOOKUP(VALUE(TRIM(SPLIT(D139,"",""))), QUERY(goles!A:C,""select A, sum(C) where B='""&amp;A139&amp;""' group by A""),2,FALSE),0)))"),"0, 0")</f>
        <v>0, 0</v>
      </c>
      <c r="G139" s="5" t="s">
        <v>759</v>
      </c>
      <c r="H139" s="5" t="s">
        <v>227</v>
      </c>
      <c r="I139" s="7">
        <v>16187.0</v>
      </c>
      <c r="J139" s="6" t="s">
        <v>760</v>
      </c>
      <c r="K139" s="5" t="s">
        <v>35</v>
      </c>
      <c r="L139" s="5" t="s">
        <v>35</v>
      </c>
      <c r="M139" s="5" t="s">
        <v>25</v>
      </c>
      <c r="N139" s="9" t="s">
        <v>36</v>
      </c>
      <c r="O139" s="9" t="s">
        <v>37</v>
      </c>
      <c r="P139" s="10">
        <v>-34.89453803</v>
      </c>
      <c r="Q139" s="10">
        <v>-56.15278107</v>
      </c>
      <c r="R139" s="14" t="s">
        <v>761</v>
      </c>
      <c r="S139" s="14" t="s">
        <v>762</v>
      </c>
      <c r="T139" s="12"/>
      <c r="U139" s="12"/>
    </row>
    <row r="140">
      <c r="A140" s="5" t="s">
        <v>763</v>
      </c>
      <c r="B140" s="5" t="s">
        <v>20</v>
      </c>
      <c r="C140" s="6">
        <v>2.0</v>
      </c>
      <c r="D140" s="5" t="s">
        <v>370</v>
      </c>
      <c r="E140" s="5" t="str">
        <f>IFERROR(__xludf.DUMMYFUNCTION("TEXTJOIN("", "",TRUE,ARRAYFORMULA(IF(COUNTIFS(capitanes!A:A,SPLIT(D140,"",""),capitanes!B:B,A140)&gt;0,1,0)))"),"0, 0")</f>
        <v>0, 0</v>
      </c>
      <c r="F140" s="5" t="str">
        <f>IFERROR(__xludf.DUMMYFUNCTION("JOIN("", "",ARRAYFORMULA(IFERROR(VLOOKUP(VALUE(TRIM(SPLIT(D140,"",""))), QUERY(goles!A:C,""select A, sum(C) where B='""&amp;A140&amp;""' group by A""),2,FALSE),0)))"),"1, 0")</f>
        <v>1, 0</v>
      </c>
      <c r="G140" s="5" t="s">
        <v>764</v>
      </c>
      <c r="H140" s="5" t="s">
        <v>25</v>
      </c>
      <c r="I140" s="7">
        <v>9667.0</v>
      </c>
      <c r="J140" s="6" t="s">
        <v>765</v>
      </c>
      <c r="K140" s="5" t="s">
        <v>35</v>
      </c>
      <c r="L140" s="5" t="s">
        <v>35</v>
      </c>
      <c r="M140" s="5" t="s">
        <v>25</v>
      </c>
      <c r="N140" s="9" t="s">
        <v>36</v>
      </c>
      <c r="O140" s="9" t="s">
        <v>37</v>
      </c>
      <c r="P140" s="10">
        <v>-34.89453803</v>
      </c>
      <c r="Q140" s="10">
        <v>-56.15278107</v>
      </c>
      <c r="R140" s="5" t="s">
        <v>766</v>
      </c>
      <c r="S140" s="14" t="s">
        <v>767</v>
      </c>
      <c r="T140" s="12"/>
      <c r="U140" s="12"/>
    </row>
    <row r="141">
      <c r="A141" s="5" t="s">
        <v>768</v>
      </c>
      <c r="B141" s="5" t="s">
        <v>117</v>
      </c>
      <c r="C141" s="6">
        <v>3.0</v>
      </c>
      <c r="D141" s="5" t="s">
        <v>769</v>
      </c>
      <c r="E141" s="5" t="str">
        <f>IFERROR(__xludf.DUMMYFUNCTION("TEXTJOIN("", "",TRUE,ARRAYFORMULA(IF(COUNTIFS(capitanes!A:A,SPLIT(D141,"",""),capitanes!B:B,A141)&gt;0,1,0)))"),"0, 0, 1")</f>
        <v>0, 0, 1</v>
      </c>
      <c r="F141" s="5" t="str">
        <f>IFERROR(__xludf.DUMMYFUNCTION("JOIN("", "",ARRAYFORMULA(IFERROR(VLOOKUP(VALUE(TRIM(SPLIT(D141,"",""))), QUERY(goles!A:C,""select A, sum(C) where B='""&amp;A141&amp;""' group by A""),2,FALSE),0)))"),"0, 0, 0")</f>
        <v>0, 0, 0</v>
      </c>
      <c r="G141" s="5" t="s">
        <v>770</v>
      </c>
      <c r="H141" s="5" t="s">
        <v>771</v>
      </c>
      <c r="I141" s="7">
        <v>16482.0</v>
      </c>
      <c r="J141" s="6" t="s">
        <v>772</v>
      </c>
      <c r="K141" s="5" t="s">
        <v>773</v>
      </c>
      <c r="L141" s="5" t="s">
        <v>203</v>
      </c>
      <c r="M141" s="5" t="s">
        <v>25</v>
      </c>
      <c r="N141" s="9" t="s">
        <v>774</v>
      </c>
      <c r="O141" s="9" t="s">
        <v>775</v>
      </c>
      <c r="P141" s="10">
        <v>-34.8634648</v>
      </c>
      <c r="Q141" s="10">
        <v>-55.27622916</v>
      </c>
      <c r="R141" s="14" t="s">
        <v>776</v>
      </c>
      <c r="S141" s="14" t="s">
        <v>777</v>
      </c>
      <c r="T141" s="12"/>
      <c r="U141" s="12"/>
    </row>
    <row r="142">
      <c r="A142" s="5" t="s">
        <v>778</v>
      </c>
      <c r="B142" s="5" t="s">
        <v>20</v>
      </c>
      <c r="C142" s="6">
        <v>1.0</v>
      </c>
      <c r="D142" s="6">
        <v>1930.0</v>
      </c>
      <c r="E142" s="5" t="str">
        <f>IFERROR(__xludf.DUMMYFUNCTION("TEXTJOIN("", "",TRUE,ARRAYFORMULA(IF(COUNTIFS(capitanes!A:A,SPLIT(D142,"",""),capitanes!B:B,A142)&gt;0,1,0)))"),"0")</f>
        <v>0</v>
      </c>
      <c r="F142" s="5" t="str">
        <f>IFERROR(__xludf.DUMMYFUNCTION("JOIN("", "",ARRAYFORMULA(IFERROR(VLOOKUP(VALUE(TRIM(SPLIT(D142,"",""))), QUERY(goles!A:C,""select A, sum(C) where B='""&amp;A142&amp;""' group by A""),2,FALSE),0)))"),"3")</f>
        <v>3</v>
      </c>
      <c r="G142" s="5" t="s">
        <v>54</v>
      </c>
      <c r="H142" s="5" t="s">
        <v>25</v>
      </c>
      <c r="I142" s="7">
        <v>851.0</v>
      </c>
      <c r="J142" s="6" t="s">
        <v>779</v>
      </c>
      <c r="K142" s="5" t="s">
        <v>35</v>
      </c>
      <c r="L142" s="5" t="s">
        <v>35</v>
      </c>
      <c r="M142" s="5" t="s">
        <v>25</v>
      </c>
      <c r="N142" s="9" t="s">
        <v>36</v>
      </c>
      <c r="O142" s="9" t="s">
        <v>37</v>
      </c>
      <c r="P142" s="10">
        <v>-34.89453803</v>
      </c>
      <c r="Q142" s="10">
        <v>-56.15278107</v>
      </c>
      <c r="R142" s="14" t="s">
        <v>780</v>
      </c>
      <c r="S142" s="14" t="s">
        <v>781</v>
      </c>
      <c r="T142" s="12"/>
      <c r="U142" s="12"/>
    </row>
    <row r="143">
      <c r="A143" s="5" t="s">
        <v>782</v>
      </c>
      <c r="B143" s="5" t="s">
        <v>31</v>
      </c>
      <c r="C143" s="6">
        <v>2.0</v>
      </c>
      <c r="D143" s="5" t="s">
        <v>783</v>
      </c>
      <c r="E143" s="5" t="str">
        <f>IFERROR(__xludf.DUMMYFUNCTION("TEXTJOIN("", "",TRUE,ARRAYFORMULA(IF(COUNTIFS(capitanes!A:A,SPLIT(D143,"",""),capitanes!B:B,A143)&gt;0,1,0)))"),"0, 0")</f>
        <v>0, 0</v>
      </c>
      <c r="F143" s="5" t="str">
        <f>IFERROR(__xludf.DUMMYFUNCTION("JOIN("", "",ARRAYFORMULA(IFERROR(VLOOKUP(VALUE(TRIM(SPLIT(D143,"",""))), QUERY(goles!A:C,""select A, sum(C) where B='""&amp;A143&amp;""' group by A""),2,FALSE),0)))"),"0, 0")</f>
        <v>0, 0</v>
      </c>
      <c r="G143" s="5" t="s">
        <v>784</v>
      </c>
      <c r="H143" s="5" t="s">
        <v>785</v>
      </c>
      <c r="I143" s="7">
        <v>35106.0</v>
      </c>
      <c r="J143" s="8">
        <v>35371.0</v>
      </c>
      <c r="K143" s="5" t="s">
        <v>403</v>
      </c>
      <c r="L143" s="5" t="s">
        <v>404</v>
      </c>
      <c r="M143" s="5" t="s">
        <v>25</v>
      </c>
      <c r="N143" s="9" t="s">
        <v>405</v>
      </c>
      <c r="O143" s="9" t="s">
        <v>406</v>
      </c>
      <c r="P143" s="10">
        <v>-33.1193385</v>
      </c>
      <c r="Q143" s="10">
        <v>-58.31770138</v>
      </c>
      <c r="R143" s="14" t="s">
        <v>786</v>
      </c>
      <c r="S143" s="14" t="s">
        <v>787</v>
      </c>
      <c r="T143" s="12"/>
      <c r="U143" s="12"/>
    </row>
    <row r="144">
      <c r="A144" s="5" t="s">
        <v>788</v>
      </c>
      <c r="B144" s="5" t="s">
        <v>31</v>
      </c>
      <c r="C144" s="6">
        <v>1.0</v>
      </c>
      <c r="D144" s="6">
        <v>1954.0</v>
      </c>
      <c r="E144" s="5" t="str">
        <f>IFERROR(__xludf.DUMMYFUNCTION("TEXTJOIN("", "",TRUE,ARRAYFORMULA(IF(COUNTIFS(capitanes!A:A,SPLIT(D144,"",""),capitanes!B:B,A144)&gt;0,1,0)))"),"0")</f>
        <v>0</v>
      </c>
      <c r="F144" s="5" t="str">
        <f>IFERROR(__xludf.DUMMYFUNCTION("JOIN("", "",ARRAYFORMULA(IFERROR(VLOOKUP(VALUE(TRIM(SPLIT(D144,"",""))), QUERY(goles!A:C,""select A, sum(C) where B='""&amp;A144&amp;""' group by A""),2,FALSE),0)))"),"0")</f>
        <v>0</v>
      </c>
      <c r="G144" s="5" t="s">
        <v>59</v>
      </c>
      <c r="H144" s="5" t="s">
        <v>25</v>
      </c>
      <c r="I144" s="7">
        <v>9250.0</v>
      </c>
      <c r="J144" s="6" t="s">
        <v>789</v>
      </c>
      <c r="K144" s="5" t="s">
        <v>35</v>
      </c>
      <c r="L144" s="5" t="s">
        <v>35</v>
      </c>
      <c r="M144" s="5" t="s">
        <v>25</v>
      </c>
      <c r="N144" s="9" t="s">
        <v>36</v>
      </c>
      <c r="O144" s="9" t="s">
        <v>37</v>
      </c>
      <c r="P144" s="10">
        <v>-34.89453803</v>
      </c>
      <c r="Q144" s="10">
        <v>-56.15278107</v>
      </c>
      <c r="R144" s="14" t="s">
        <v>790</v>
      </c>
      <c r="S144" s="14" t="s">
        <v>791</v>
      </c>
      <c r="T144" s="12"/>
      <c r="U144" s="12"/>
    </row>
    <row r="145">
      <c r="A145" s="5" t="s">
        <v>792</v>
      </c>
      <c r="B145" s="5" t="s">
        <v>20</v>
      </c>
      <c r="C145" s="6">
        <v>3.0</v>
      </c>
      <c r="D145" s="5" t="s">
        <v>793</v>
      </c>
      <c r="E145" s="5" t="str">
        <f>IFERROR(__xludf.DUMMYFUNCTION("TEXTJOIN("", "",TRUE,ARRAYFORMULA(IF(COUNTIFS(capitanes!A:A,SPLIT(D145,"",""),capitanes!B:B,A145)&gt;0,1,0)))"),"0, 0, 0")</f>
        <v>0, 0, 0</v>
      </c>
      <c r="F145" s="5" t="str">
        <f>IFERROR(__xludf.DUMMYFUNCTION("JOIN("", "",ARRAYFORMULA(IFERROR(VLOOKUP(VALUE(TRIM(SPLIT(D145,"",""))), QUERY(goles!A:C,""select A, sum(C) where B='""&amp;A145&amp;""' group by A""),2,FALSE),0)))"),"1, 1, 0")</f>
        <v>1, 1, 0</v>
      </c>
      <c r="G145" s="5" t="s">
        <v>794</v>
      </c>
      <c r="H145" s="5" t="s">
        <v>663</v>
      </c>
      <c r="I145" s="7">
        <v>14698.0</v>
      </c>
      <c r="J145" s="6" t="s">
        <v>795</v>
      </c>
      <c r="K145" s="5" t="s">
        <v>48</v>
      </c>
      <c r="L145" s="5" t="s">
        <v>48</v>
      </c>
      <c r="M145" s="5" t="s">
        <v>25</v>
      </c>
      <c r="N145" s="9" t="s">
        <v>49</v>
      </c>
      <c r="O145" s="9" t="s">
        <v>50</v>
      </c>
      <c r="P145" s="10">
        <v>-32.32100867</v>
      </c>
      <c r="Q145" s="10">
        <v>-58.08768999</v>
      </c>
      <c r="R145" s="14" t="s">
        <v>796</v>
      </c>
      <c r="S145" s="14" t="s">
        <v>797</v>
      </c>
      <c r="T145" s="12"/>
      <c r="U145" s="12"/>
    </row>
    <row r="146">
      <c r="A146" s="5" t="s">
        <v>798</v>
      </c>
      <c r="B146" s="5" t="s">
        <v>20</v>
      </c>
      <c r="C146" s="6">
        <v>1.0</v>
      </c>
      <c r="D146" s="6">
        <v>1954.0</v>
      </c>
      <c r="E146" s="5" t="str">
        <f>IFERROR(__xludf.DUMMYFUNCTION("TEXTJOIN("", "",TRUE,ARRAYFORMULA(IF(COUNTIFS(capitanes!A:A,SPLIT(D146,"",""),capitanes!B:B,A146)&gt;0,1,0)))"),"0")</f>
        <v>0</v>
      </c>
      <c r="F146" s="5" t="str">
        <f>IFERROR(__xludf.DUMMYFUNCTION("JOIN("", "",ARRAYFORMULA(IFERROR(VLOOKUP(VALUE(TRIM(SPLIT(D146,"",""))), QUERY(goles!A:C,""select A, sum(C) where B='""&amp;A146&amp;""' group by A""),2,FALSE),0)))"),"0")</f>
        <v>0</v>
      </c>
      <c r="G146" s="5" t="s">
        <v>202</v>
      </c>
      <c r="H146" s="5" t="s">
        <v>25</v>
      </c>
      <c r="I146" s="7">
        <v>7883.0</v>
      </c>
      <c r="J146" s="6" t="s">
        <v>799</v>
      </c>
      <c r="K146" s="5" t="s">
        <v>35</v>
      </c>
      <c r="L146" s="5" t="s">
        <v>35</v>
      </c>
      <c r="M146" s="5" t="s">
        <v>25</v>
      </c>
      <c r="N146" s="9" t="s">
        <v>36</v>
      </c>
      <c r="O146" s="9" t="s">
        <v>37</v>
      </c>
      <c r="P146" s="10">
        <v>-34.89453803</v>
      </c>
      <c r="Q146" s="10">
        <v>-56.15278107</v>
      </c>
      <c r="R146" s="14" t="s">
        <v>800</v>
      </c>
      <c r="S146" s="14" t="s">
        <v>801</v>
      </c>
      <c r="T146" s="12"/>
      <c r="U146" s="12"/>
    </row>
    <row r="147">
      <c r="A147" s="5" t="s">
        <v>802</v>
      </c>
      <c r="B147" s="5" t="s">
        <v>31</v>
      </c>
      <c r="C147" s="6">
        <v>1.0</v>
      </c>
      <c r="D147" s="6">
        <v>1974.0</v>
      </c>
      <c r="E147" s="5" t="str">
        <f>IFERROR(__xludf.DUMMYFUNCTION("TEXTJOIN("", "",TRUE,ARRAYFORMULA(IF(COUNTIFS(capitanes!A:A,SPLIT(D147,"",""),capitanes!B:B,A147)&gt;0,1,0)))"),"0")</f>
        <v>0</v>
      </c>
      <c r="F147" s="5" t="str">
        <f>IFERROR(__xludf.DUMMYFUNCTION("JOIN("", "",ARRAYFORMULA(IFERROR(VLOOKUP(VALUE(TRIM(SPLIT(D147,"",""))), QUERY(goles!A:C,""select A, sum(C) where B='""&amp;A147&amp;""' group by A""),2,FALSE),0)))"),"0")</f>
        <v>0</v>
      </c>
      <c r="G147" s="5" t="s">
        <v>54</v>
      </c>
      <c r="H147" s="5" t="s">
        <v>25</v>
      </c>
      <c r="I147" s="7">
        <v>16774.0</v>
      </c>
      <c r="J147" s="8">
        <v>16508.0</v>
      </c>
      <c r="K147" s="5" t="s">
        <v>35</v>
      </c>
      <c r="L147" s="5" t="s">
        <v>35</v>
      </c>
      <c r="M147" s="5" t="s">
        <v>25</v>
      </c>
      <c r="N147" s="9" t="s">
        <v>36</v>
      </c>
      <c r="O147" s="9" t="s">
        <v>37</v>
      </c>
      <c r="P147" s="10">
        <v>-34.89453803</v>
      </c>
      <c r="Q147" s="10">
        <v>-56.15278107</v>
      </c>
      <c r="R147" s="14" t="s">
        <v>803</v>
      </c>
      <c r="S147" s="14" t="s">
        <v>804</v>
      </c>
      <c r="T147" s="12"/>
      <c r="U147" s="12"/>
    </row>
    <row r="148">
      <c r="A148" s="5" t="s">
        <v>805</v>
      </c>
      <c r="B148" s="5" t="s">
        <v>117</v>
      </c>
      <c r="C148" s="6">
        <v>1.0</v>
      </c>
      <c r="D148" s="6">
        <v>1962.0</v>
      </c>
      <c r="E148" s="5" t="str">
        <f>IFERROR(__xludf.DUMMYFUNCTION("TEXTJOIN("", "",TRUE,ARRAYFORMULA(IF(COUNTIFS(capitanes!A:A,SPLIT(D148,"",""),capitanes!B:B,A148)&gt;0,1,0)))"),"0")</f>
        <v>0</v>
      </c>
      <c r="F148" s="5" t="str">
        <f>IFERROR(__xludf.DUMMYFUNCTION("JOIN("", "",ARRAYFORMULA(IFERROR(VLOOKUP(VALUE(TRIM(SPLIT(D148,"",""))), QUERY(goles!A:C,""select A, sum(C) where B='""&amp;A148&amp;""' group by A""),2,FALSE),0)))"),"0")</f>
        <v>0</v>
      </c>
      <c r="G148" s="5" t="s">
        <v>54</v>
      </c>
      <c r="H148" s="5" t="s">
        <v>25</v>
      </c>
      <c r="I148" s="7">
        <v>12472.0</v>
      </c>
      <c r="J148" s="6" t="s">
        <v>806</v>
      </c>
      <c r="K148" s="5" t="s">
        <v>773</v>
      </c>
      <c r="L148" s="5" t="s">
        <v>203</v>
      </c>
      <c r="M148" s="5" t="s">
        <v>25</v>
      </c>
      <c r="N148" s="9" t="s">
        <v>774</v>
      </c>
      <c r="O148" s="9" t="s">
        <v>775</v>
      </c>
      <c r="P148" s="10">
        <v>-34.8634648</v>
      </c>
      <c r="Q148" s="10">
        <v>-55.27622916</v>
      </c>
      <c r="R148" s="14" t="s">
        <v>807</v>
      </c>
      <c r="S148" s="14" t="s">
        <v>808</v>
      </c>
      <c r="T148" s="12"/>
      <c r="U148" s="12"/>
    </row>
    <row r="149">
      <c r="A149" s="5" t="s">
        <v>809</v>
      </c>
      <c r="B149" s="5" t="s">
        <v>46</v>
      </c>
      <c r="C149" s="6">
        <v>1.0</v>
      </c>
      <c r="D149" s="6">
        <v>1966.0</v>
      </c>
      <c r="E149" s="5" t="str">
        <f>IFERROR(__xludf.DUMMYFUNCTION("TEXTJOIN("", "",TRUE,ARRAYFORMULA(IF(COUNTIFS(capitanes!A:A,SPLIT(D149,"",""),capitanes!B:B,A149)&gt;0,1,0)))"),"0")</f>
        <v>0</v>
      </c>
      <c r="F149" s="5" t="str">
        <f>IFERROR(__xludf.DUMMYFUNCTION("JOIN("", "",ARRAYFORMULA(IFERROR(VLOOKUP(VALUE(TRIM(SPLIT(D149,"",""))), QUERY(goles!A:C,""select A, sum(C) where B='""&amp;A149&amp;""' group by A""),2,FALSE),0)))"),"0")</f>
        <v>0</v>
      </c>
      <c r="G149" s="5" t="s">
        <v>59</v>
      </c>
      <c r="H149" s="5" t="s">
        <v>25</v>
      </c>
      <c r="I149" s="7">
        <v>14527.0</v>
      </c>
      <c r="J149" s="8">
        <v>14498.0</v>
      </c>
      <c r="K149" s="5" t="s">
        <v>35</v>
      </c>
      <c r="L149" s="5" t="s">
        <v>35</v>
      </c>
      <c r="M149" s="5" t="s">
        <v>25</v>
      </c>
      <c r="N149" s="9" t="s">
        <v>36</v>
      </c>
      <c r="O149" s="9" t="s">
        <v>37</v>
      </c>
      <c r="P149" s="10">
        <v>-34.89453803</v>
      </c>
      <c r="Q149" s="10">
        <v>-56.15278107</v>
      </c>
      <c r="R149" s="14" t="s">
        <v>810</v>
      </c>
      <c r="S149" s="14" t="s">
        <v>811</v>
      </c>
      <c r="T149" s="12"/>
      <c r="U149" s="12"/>
    </row>
    <row r="150">
      <c r="A150" s="5" t="s">
        <v>812</v>
      </c>
      <c r="B150" s="5" t="s">
        <v>20</v>
      </c>
      <c r="C150" s="6">
        <v>1.0</v>
      </c>
      <c r="D150" s="6">
        <v>1950.0</v>
      </c>
      <c r="E150" s="5" t="str">
        <f>IFERROR(__xludf.DUMMYFUNCTION("TEXTJOIN("", "",TRUE,ARRAYFORMULA(IF(COUNTIFS(capitanes!A:A,SPLIT(D150,"",""),capitanes!B:B,A150)&gt;0,1,0)))"),"0")</f>
        <v>0</v>
      </c>
      <c r="F150" s="5" t="str">
        <f>IFERROR(__xludf.DUMMYFUNCTION("JOIN("", "",ARRAYFORMULA(IFERROR(VLOOKUP(VALUE(TRIM(SPLIT(D150,"",""))), QUERY(goles!A:C,""select A, sum(C) where B='""&amp;A150&amp;""' group by A""),2,FALSE),0)))"),"0")</f>
        <v>0</v>
      </c>
      <c r="G150" s="5" t="s">
        <v>813</v>
      </c>
      <c r="H150" s="5" t="s">
        <v>25</v>
      </c>
      <c r="I150" s="7">
        <v>10133.0</v>
      </c>
      <c r="J150" s="6" t="s">
        <v>814</v>
      </c>
      <c r="K150" s="5" t="s">
        <v>35</v>
      </c>
      <c r="L150" s="5" t="s">
        <v>35</v>
      </c>
      <c r="M150" s="5" t="s">
        <v>25</v>
      </c>
      <c r="N150" s="9" t="s">
        <v>36</v>
      </c>
      <c r="O150" s="9" t="s">
        <v>37</v>
      </c>
      <c r="P150" s="10">
        <v>-34.89453803</v>
      </c>
      <c r="Q150" s="10">
        <v>-56.15278107</v>
      </c>
      <c r="R150" s="14" t="s">
        <v>815</v>
      </c>
      <c r="S150" s="24" t="s">
        <v>816</v>
      </c>
      <c r="T150" s="12"/>
      <c r="U150" s="12"/>
    </row>
    <row r="151">
      <c r="A151" s="5" t="s">
        <v>817</v>
      </c>
      <c r="B151" s="5" t="s">
        <v>20</v>
      </c>
      <c r="C151" s="6">
        <v>4.0</v>
      </c>
      <c r="D151" s="5" t="s">
        <v>257</v>
      </c>
      <c r="E151" s="5" t="str">
        <f>IFERROR(__xludf.DUMMYFUNCTION("TEXTJOIN("", "",TRUE,ARRAYFORMULA(IF(COUNTIFS(capitanes!A:A,SPLIT(D151,"",""),capitanes!B:B,A151)&gt;0,1,0)))"),"0, 0, 0, 1")</f>
        <v>0, 0, 0, 1</v>
      </c>
      <c r="F151" s="5" t="str">
        <f>IFERROR(__xludf.DUMMYFUNCTION("JOIN("", "",ARRAYFORMULA(IFERROR(VLOOKUP(VALUE(TRIM(SPLIT(D151,"",""))), QUERY(goles!A:C,""select A, sum(C) where B='""&amp;A151&amp;""' group by A""),2,FALSE),0)))"),"3, 2, 2, 0")</f>
        <v>3, 2, 2, 0</v>
      </c>
      <c r="G151" s="5" t="s">
        <v>818</v>
      </c>
      <c r="H151" s="5" t="s">
        <v>819</v>
      </c>
      <c r="I151" s="7">
        <v>31801.0</v>
      </c>
      <c r="J151" s="6" t="s">
        <v>820</v>
      </c>
      <c r="K151" s="5" t="s">
        <v>187</v>
      </c>
      <c r="L151" s="5" t="s">
        <v>187</v>
      </c>
      <c r="M151" s="5" t="s">
        <v>25</v>
      </c>
      <c r="N151" s="9" t="s">
        <v>188</v>
      </c>
      <c r="O151" s="9" t="s">
        <v>189</v>
      </c>
      <c r="P151" s="10">
        <v>-31.38663817</v>
      </c>
      <c r="Q151" s="10">
        <v>-57.93598627</v>
      </c>
      <c r="R151" s="5" t="s">
        <v>821</v>
      </c>
      <c r="S151" s="14" t="s">
        <v>822</v>
      </c>
      <c r="T151" s="12"/>
      <c r="U151" s="12"/>
    </row>
    <row r="152">
      <c r="A152" s="5" t="s">
        <v>823</v>
      </c>
      <c r="B152" s="5" t="s">
        <v>46</v>
      </c>
      <c r="C152" s="6">
        <v>2.0</v>
      </c>
      <c r="D152" s="5" t="s">
        <v>824</v>
      </c>
      <c r="E152" s="5" t="str">
        <f>IFERROR(__xludf.DUMMYFUNCTION("TEXTJOIN("", "",TRUE,ARRAYFORMULA(IF(COUNTIFS(capitanes!A:A,SPLIT(D152,"",""),capitanes!B:B,A152)&gt;0,1,0)))"),"0, 0")</f>
        <v>0, 0</v>
      </c>
      <c r="F152" s="5" t="str">
        <f>IFERROR(__xludf.DUMMYFUNCTION("JOIN("", "",ARRAYFORMULA(IFERROR(VLOOKUP(VALUE(TRIM(SPLIT(D152,"",""))), QUERY(goles!A:C,""select A, sum(C) where B='""&amp;A152&amp;""' group by A""),2,FALSE),0)))"),"0, 0")</f>
        <v>0, 0</v>
      </c>
      <c r="G152" s="5" t="s">
        <v>825</v>
      </c>
      <c r="H152" s="5" t="s">
        <v>663</v>
      </c>
      <c r="I152" s="7">
        <v>14769.0</v>
      </c>
      <c r="J152" s="8">
        <v>14798.0</v>
      </c>
      <c r="K152" s="5" t="s">
        <v>35</v>
      </c>
      <c r="L152" s="5" t="s">
        <v>35</v>
      </c>
      <c r="M152" s="5" t="s">
        <v>25</v>
      </c>
      <c r="N152" s="9" t="s">
        <v>36</v>
      </c>
      <c r="O152" s="9" t="s">
        <v>37</v>
      </c>
      <c r="P152" s="10">
        <v>-34.89453803</v>
      </c>
      <c r="Q152" s="10">
        <v>-56.15278107</v>
      </c>
      <c r="R152" s="5" t="s">
        <v>826</v>
      </c>
      <c r="S152" s="14" t="s">
        <v>827</v>
      </c>
      <c r="T152" s="12"/>
      <c r="U152" s="12"/>
    </row>
    <row r="153">
      <c r="A153" s="5" t="s">
        <v>828</v>
      </c>
      <c r="B153" s="5" t="s">
        <v>31</v>
      </c>
      <c r="C153" s="6">
        <v>2.0</v>
      </c>
      <c r="D153" s="6" t="s">
        <v>32</v>
      </c>
      <c r="E153" s="5" t="str">
        <f>IFERROR(__xludf.DUMMYFUNCTION("TEXTJOIN("", "",TRUE,ARRAYFORMULA(IF(COUNTIFS(capitanes!A:A,SPLIT(D153,"",""),capitanes!B:B,A153)&gt;0,1,0)))"),"0, 0")</f>
        <v>0, 0</v>
      </c>
      <c r="F153" s="5" t="str">
        <f>IFERROR(__xludf.DUMMYFUNCTION("JOIN("", "",ARRAYFORMULA(IFERROR(VLOOKUP(VALUE(TRIM(SPLIT(D153,"",""))), QUERY(goles!A:C,""select A, sum(C) where B='""&amp;A153&amp;""' group by A""),2,FALSE),0)))"),"0, 0")</f>
        <v>0, 0</v>
      </c>
      <c r="G153" s="5" t="s">
        <v>829</v>
      </c>
      <c r="H153" s="5" t="s">
        <v>830</v>
      </c>
      <c r="I153" s="7">
        <v>36992.0</v>
      </c>
      <c r="J153" s="8">
        <v>37199.0</v>
      </c>
      <c r="K153" s="5" t="s">
        <v>35</v>
      </c>
      <c r="L153" s="5" t="s">
        <v>35</v>
      </c>
      <c r="M153" s="5" t="s">
        <v>25</v>
      </c>
      <c r="N153" s="9" t="s">
        <v>36</v>
      </c>
      <c r="O153" s="9" t="s">
        <v>37</v>
      </c>
      <c r="P153" s="10">
        <v>-34.89453803</v>
      </c>
      <c r="Q153" s="10">
        <v>-56.15278107</v>
      </c>
      <c r="R153" s="14" t="s">
        <v>831</v>
      </c>
      <c r="S153" s="14" t="s">
        <v>832</v>
      </c>
      <c r="T153" s="12"/>
      <c r="U153" s="12"/>
    </row>
    <row r="154">
      <c r="A154" s="5" t="s">
        <v>833</v>
      </c>
      <c r="B154" s="5" t="s">
        <v>31</v>
      </c>
      <c r="C154" s="6">
        <v>1.0</v>
      </c>
      <c r="D154" s="6">
        <v>2002.0</v>
      </c>
      <c r="E154" s="5" t="str">
        <f>IFERROR(__xludf.DUMMYFUNCTION("TEXTJOIN("", "",TRUE,ARRAYFORMULA(IF(COUNTIFS(capitanes!A:A,SPLIT(D154,"",""),capitanes!B:B,A154)&gt;0,1,0)))"),"0")</f>
        <v>0</v>
      </c>
      <c r="F154" s="5" t="str">
        <f>IFERROR(__xludf.DUMMYFUNCTION("JOIN("", "",ARRAYFORMULA(IFERROR(VLOOKUP(VALUE(TRIM(SPLIT(D154,"",""))), QUERY(goles!A:C,""select A, sum(C) where B='""&amp;A154&amp;""' group by A""),2,FALSE),0)))"),"0")</f>
        <v>0</v>
      </c>
      <c r="G154" s="5" t="s">
        <v>226</v>
      </c>
      <c r="H154" s="5" t="s">
        <v>227</v>
      </c>
      <c r="I154" s="7">
        <v>27945.0</v>
      </c>
      <c r="J154" s="8">
        <v>27857.0</v>
      </c>
      <c r="K154" s="5" t="s">
        <v>35</v>
      </c>
      <c r="L154" s="5" t="s">
        <v>35</v>
      </c>
      <c r="M154" s="5" t="s">
        <v>25</v>
      </c>
      <c r="N154" s="9" t="s">
        <v>36</v>
      </c>
      <c r="O154" s="9" t="s">
        <v>37</v>
      </c>
      <c r="P154" s="10">
        <v>-34.89453803</v>
      </c>
      <c r="Q154" s="10">
        <v>-56.15278107</v>
      </c>
      <c r="R154" s="14" t="s">
        <v>834</v>
      </c>
      <c r="S154" s="24" t="s">
        <v>835</v>
      </c>
      <c r="T154" s="12"/>
      <c r="U154" s="12"/>
    </row>
    <row r="155">
      <c r="A155" s="5" t="s">
        <v>836</v>
      </c>
      <c r="B155" s="5" t="s">
        <v>46</v>
      </c>
      <c r="C155" s="6">
        <v>1.0</v>
      </c>
      <c r="D155" s="6">
        <v>1974.0</v>
      </c>
      <c r="E155" s="5" t="str">
        <f>IFERROR(__xludf.DUMMYFUNCTION("TEXTJOIN("", "",TRUE,ARRAYFORMULA(IF(COUNTIFS(capitanes!A:A,SPLIT(D155,"",""),capitanes!B:B,A155)&gt;0,1,0)))"),"0")</f>
        <v>0</v>
      </c>
      <c r="F155" s="5" t="str">
        <f>IFERROR(__xludf.DUMMYFUNCTION("JOIN("", "",ARRAYFORMULA(IFERROR(VLOOKUP(VALUE(TRIM(SPLIT(D155,"",""))), QUERY(goles!A:C,""select A, sum(C) where B='""&amp;A155&amp;""' group by A""),2,FALSE),0)))"),"0")</f>
        <v>0</v>
      </c>
      <c r="G155" s="5" t="s">
        <v>54</v>
      </c>
      <c r="H155" s="5" t="s">
        <v>25</v>
      </c>
      <c r="I155" s="7">
        <v>18410.0</v>
      </c>
      <c r="J155" s="6" t="s">
        <v>837</v>
      </c>
      <c r="K155" s="5" t="s">
        <v>35</v>
      </c>
      <c r="L155" s="5" t="s">
        <v>35</v>
      </c>
      <c r="M155" s="5" t="s">
        <v>25</v>
      </c>
      <c r="N155" s="9" t="s">
        <v>36</v>
      </c>
      <c r="O155" s="9" t="s">
        <v>37</v>
      </c>
      <c r="P155" s="10">
        <v>-34.89453803</v>
      </c>
      <c r="Q155" s="10">
        <v>-56.15278107</v>
      </c>
      <c r="R155" s="5" t="s">
        <v>838</v>
      </c>
      <c r="S155" s="24" t="s">
        <v>839</v>
      </c>
      <c r="T155" s="12"/>
      <c r="U155" s="12"/>
    </row>
    <row r="156">
      <c r="A156" s="5" t="s">
        <v>840</v>
      </c>
      <c r="B156" s="5" t="s">
        <v>20</v>
      </c>
      <c r="C156" s="6">
        <v>1.0</v>
      </c>
      <c r="D156" s="6">
        <v>1962.0</v>
      </c>
      <c r="E156" s="5" t="str">
        <f>IFERROR(__xludf.DUMMYFUNCTION("TEXTJOIN("", "",TRUE,ARRAYFORMULA(IF(COUNTIFS(capitanes!A:A,SPLIT(D156,"",""),capitanes!B:B,A156)&gt;0,1,0)))"),"0")</f>
        <v>0</v>
      </c>
      <c r="F156" s="5" t="str">
        <f>IFERROR(__xludf.DUMMYFUNCTION("JOIN("", "",ARRAYFORMULA(IFERROR(VLOOKUP(VALUE(TRIM(SPLIT(D156,"",""))), QUERY(goles!A:C,""select A, sum(C) where B='""&amp;A156&amp;""' group by A""),2,FALSE),0)))"),"0")</f>
        <v>0</v>
      </c>
      <c r="G156" s="5" t="s">
        <v>59</v>
      </c>
      <c r="H156" s="5" t="s">
        <v>25</v>
      </c>
      <c r="I156" s="7">
        <v>13850.0</v>
      </c>
      <c r="J156" s="8">
        <v>13527.0</v>
      </c>
      <c r="K156" s="5" t="s">
        <v>35</v>
      </c>
      <c r="L156" s="5" t="s">
        <v>35</v>
      </c>
      <c r="M156" s="5" t="s">
        <v>25</v>
      </c>
      <c r="N156" s="9" t="s">
        <v>36</v>
      </c>
      <c r="O156" s="9" t="s">
        <v>37</v>
      </c>
      <c r="P156" s="10">
        <v>-34.89453803</v>
      </c>
      <c r="Q156" s="10">
        <v>-56.15278107</v>
      </c>
      <c r="R156" s="11" t="s">
        <v>841</v>
      </c>
      <c r="S156" s="11" t="s">
        <v>842</v>
      </c>
      <c r="T156" s="12"/>
      <c r="U156" s="12"/>
    </row>
    <row r="157">
      <c r="A157" s="5" t="s">
        <v>843</v>
      </c>
      <c r="B157" s="5" t="s">
        <v>46</v>
      </c>
      <c r="C157" s="6">
        <v>1.0</v>
      </c>
      <c r="D157" s="6">
        <v>1962.0</v>
      </c>
      <c r="E157" s="5" t="str">
        <f>IFERROR(__xludf.DUMMYFUNCTION("TEXTJOIN("", "",TRUE,ARRAYFORMULA(IF(COUNTIFS(capitanes!A:A,SPLIT(D157,"",""),capitanes!B:B,A157)&gt;0,1,0)))"),"0")</f>
        <v>0</v>
      </c>
      <c r="F157" s="5" t="str">
        <f>IFERROR(__xludf.DUMMYFUNCTION("JOIN("", "",ARRAYFORMULA(IFERROR(VLOOKUP(VALUE(TRIM(SPLIT(D157,"",""))), QUERY(goles!A:C,""select A, sum(C) where B='""&amp;A157&amp;""' group by A""),2,FALSE),0)))"),"0")</f>
        <v>0</v>
      </c>
      <c r="G157" s="5" t="s">
        <v>59</v>
      </c>
      <c r="H157" s="5" t="s">
        <v>25</v>
      </c>
      <c r="I157" s="7">
        <v>14011.0</v>
      </c>
      <c r="J157" s="8">
        <v>14189.0</v>
      </c>
      <c r="K157" s="5" t="s">
        <v>35</v>
      </c>
      <c r="L157" s="5" t="s">
        <v>35</v>
      </c>
      <c r="M157" s="5" t="s">
        <v>25</v>
      </c>
      <c r="N157" s="9" t="s">
        <v>36</v>
      </c>
      <c r="O157" s="9" t="s">
        <v>37</v>
      </c>
      <c r="P157" s="10">
        <v>-34.89453803</v>
      </c>
      <c r="Q157" s="10">
        <v>-56.15278107</v>
      </c>
      <c r="R157" s="11" t="s">
        <v>844</v>
      </c>
      <c r="S157" s="11" t="s">
        <v>845</v>
      </c>
      <c r="T157" s="12"/>
      <c r="U157" s="12"/>
    </row>
    <row r="158">
      <c r="A158" s="5" t="s">
        <v>846</v>
      </c>
      <c r="B158" s="5" t="s">
        <v>31</v>
      </c>
      <c r="C158" s="6">
        <v>1.0</v>
      </c>
      <c r="D158" s="6">
        <v>2002.0</v>
      </c>
      <c r="E158" s="5" t="str">
        <f>IFERROR(__xludf.DUMMYFUNCTION("TEXTJOIN("", "",TRUE,ARRAYFORMULA(IF(COUNTIFS(capitanes!A:A,SPLIT(D158,"",""),capitanes!B:B,A158)&gt;0,1,0)))"),"0")</f>
        <v>0</v>
      </c>
      <c r="F158" s="5" t="str">
        <f>IFERROR(__xludf.DUMMYFUNCTION("JOIN("", "",ARRAYFORMULA(IFERROR(VLOOKUP(VALUE(TRIM(SPLIT(D158,"",""))), QUERY(goles!A:C,""select A, sum(C) where B='""&amp;A158&amp;""' group by A""),2,FALSE),0)))"),"0")</f>
        <v>0</v>
      </c>
      <c r="G158" s="5" t="s">
        <v>847</v>
      </c>
      <c r="H158" s="5" t="s">
        <v>227</v>
      </c>
      <c r="I158" s="7">
        <v>28747.0</v>
      </c>
      <c r="J158" s="6" t="s">
        <v>848</v>
      </c>
      <c r="K158" s="5" t="s">
        <v>35</v>
      </c>
      <c r="L158" s="5" t="s">
        <v>35</v>
      </c>
      <c r="M158" s="5" t="s">
        <v>25</v>
      </c>
      <c r="N158" s="9" t="s">
        <v>36</v>
      </c>
      <c r="O158" s="9" t="s">
        <v>37</v>
      </c>
      <c r="P158" s="10">
        <v>-34.89453803</v>
      </c>
      <c r="Q158" s="10">
        <v>-56.15278107</v>
      </c>
      <c r="R158" s="14" t="s">
        <v>849</v>
      </c>
      <c r="S158" s="14" t="s">
        <v>850</v>
      </c>
      <c r="T158" s="12"/>
      <c r="U158" s="12"/>
    </row>
    <row r="159">
      <c r="A159" s="5" t="s">
        <v>851</v>
      </c>
      <c r="B159" s="5" t="s">
        <v>31</v>
      </c>
      <c r="C159" s="6">
        <v>1.0</v>
      </c>
      <c r="D159" s="6">
        <v>1986.0</v>
      </c>
      <c r="E159" s="5" t="str">
        <f>IFERROR(__xludf.DUMMYFUNCTION("TEXTJOIN("", "",TRUE,ARRAYFORMULA(IF(COUNTIFS(capitanes!A:A,SPLIT(D159,"",""),capitanes!B:B,A159)&gt;0,1,0)))"),"0")</f>
        <v>0</v>
      </c>
      <c r="F159" s="5" t="str">
        <f>IFERROR(__xludf.DUMMYFUNCTION("JOIN("", "",ARRAYFORMULA(IFERROR(VLOOKUP(VALUE(TRIM(SPLIT(D159,"",""))), QUERY(goles!A:C,""select A, sum(C) where B='""&amp;A159&amp;""' group by A""),2,FALSE),0)))"),"0")</f>
        <v>0</v>
      </c>
      <c r="G159" s="5" t="s">
        <v>852</v>
      </c>
      <c r="H159" s="5" t="s">
        <v>227</v>
      </c>
      <c r="I159" s="7">
        <v>21664.0</v>
      </c>
      <c r="J159" s="6" t="s">
        <v>853</v>
      </c>
      <c r="K159" s="5" t="s">
        <v>237</v>
      </c>
      <c r="L159" s="5" t="s">
        <v>237</v>
      </c>
      <c r="M159" s="5" t="s">
        <v>25</v>
      </c>
      <c r="N159" s="9" t="s">
        <v>238</v>
      </c>
      <c r="O159" s="9" t="s">
        <v>239</v>
      </c>
      <c r="P159" s="10">
        <v>-30.39450316</v>
      </c>
      <c r="Q159" s="10">
        <v>-56.45750082</v>
      </c>
      <c r="R159" s="14" t="s">
        <v>854</v>
      </c>
      <c r="S159" s="14" t="s">
        <v>855</v>
      </c>
      <c r="T159" s="12"/>
      <c r="U159" s="12"/>
    </row>
    <row r="160">
      <c r="A160" s="5" t="s">
        <v>856</v>
      </c>
      <c r="B160" s="5" t="s">
        <v>46</v>
      </c>
      <c r="C160" s="6">
        <v>4.0</v>
      </c>
      <c r="D160" s="5" t="s">
        <v>257</v>
      </c>
      <c r="E160" s="5" t="str">
        <f>IFERROR(__xludf.DUMMYFUNCTION("TEXTJOIN("", "",TRUE,ARRAYFORMULA(IF(COUNTIFS(capitanes!A:A,SPLIT(D160,"",""),capitanes!B:B,A160)&gt;0,1,0)))"),"0, 0, 0, 0")</f>
        <v>0, 0, 0, 0</v>
      </c>
      <c r="F160" s="5" t="str">
        <f>IFERROR(__xludf.DUMMYFUNCTION("JOIN("", "",ARRAYFORMULA(IFERROR(VLOOKUP(VALUE(TRIM(SPLIT(D160,"",""))), QUERY(goles!A:C,""select A, sum(C) where B='""&amp;A160&amp;""' group by A""),2,FALSE),0)))"),"0, 0, 0, 0")</f>
        <v>0, 0, 0, 0</v>
      </c>
      <c r="G160" s="5" t="s">
        <v>857</v>
      </c>
      <c r="H160" s="5" t="s">
        <v>858</v>
      </c>
      <c r="I160" s="7">
        <v>31874.0</v>
      </c>
      <c r="J160" s="8">
        <v>31962.0</v>
      </c>
      <c r="K160" s="5" t="s">
        <v>35</v>
      </c>
      <c r="L160" s="5" t="s">
        <v>35</v>
      </c>
      <c r="M160" s="5" t="s">
        <v>25</v>
      </c>
      <c r="N160" s="9" t="s">
        <v>36</v>
      </c>
      <c r="O160" s="9" t="s">
        <v>37</v>
      </c>
      <c r="P160" s="10">
        <v>-34.89453803</v>
      </c>
      <c r="Q160" s="10">
        <v>-56.15278107</v>
      </c>
      <c r="R160" s="5" t="s">
        <v>859</v>
      </c>
      <c r="S160" s="14" t="s">
        <v>860</v>
      </c>
      <c r="T160" s="12"/>
      <c r="U160" s="12"/>
    </row>
    <row r="161">
      <c r="A161" s="5" t="s">
        <v>861</v>
      </c>
      <c r="B161" s="5" t="s">
        <v>117</v>
      </c>
      <c r="C161" s="6">
        <v>1.0</v>
      </c>
      <c r="D161" s="6">
        <v>2018.0</v>
      </c>
      <c r="E161" s="5" t="str">
        <f>IFERROR(__xludf.DUMMYFUNCTION("TEXTJOIN("", "",TRUE,ARRAYFORMULA(IF(COUNTIFS(capitanes!A:A,SPLIT(D161,"",""),capitanes!B:B,A161)&gt;0,1,0)))"),"0")</f>
        <v>0</v>
      </c>
      <c r="F161" s="5" t="str">
        <f>IFERROR(__xludf.DUMMYFUNCTION("JOIN("", "",ARRAYFORMULA(IFERROR(VLOOKUP(VALUE(TRIM(SPLIT(D161,"",""))), QUERY(goles!A:C,""select A, sum(C) where B='""&amp;A161&amp;""' group by A""),2,FALSE),0)))"),"0")</f>
        <v>0</v>
      </c>
      <c r="G161" s="5" t="s">
        <v>313</v>
      </c>
      <c r="H161" s="5" t="s">
        <v>136</v>
      </c>
      <c r="I161" s="7">
        <v>32657.0</v>
      </c>
      <c r="J161" s="6" t="s">
        <v>862</v>
      </c>
      <c r="K161" s="5" t="s">
        <v>203</v>
      </c>
      <c r="L161" s="5" t="s">
        <v>203</v>
      </c>
      <c r="M161" s="5" t="s">
        <v>25</v>
      </c>
      <c r="N161" s="9" t="s">
        <v>204</v>
      </c>
      <c r="O161" s="9" t="s">
        <v>205</v>
      </c>
      <c r="P161" s="10">
        <v>-34.91439405</v>
      </c>
      <c r="Q161" s="10">
        <v>-54.955297</v>
      </c>
      <c r="R161" s="5" t="s">
        <v>863</v>
      </c>
      <c r="S161" s="14" t="s">
        <v>864</v>
      </c>
      <c r="T161" s="12"/>
      <c r="U161" s="12"/>
    </row>
    <row r="162">
      <c r="A162" s="5" t="s">
        <v>865</v>
      </c>
      <c r="B162" s="5" t="s">
        <v>117</v>
      </c>
      <c r="C162" s="6">
        <v>3.0</v>
      </c>
      <c r="D162" s="5" t="s">
        <v>866</v>
      </c>
      <c r="E162" s="5" t="str">
        <f>IFERROR(__xludf.DUMMYFUNCTION("TEXTJOIN("", "",TRUE,ARRAYFORMULA(IF(COUNTIFS(capitanes!A:A,SPLIT(D162,"",""),capitanes!B:B,A162)&gt;0,1,0)))"),"0, 0, 0")</f>
        <v>0, 0, 0</v>
      </c>
      <c r="F162" s="5" t="str">
        <f>IFERROR(__xludf.DUMMYFUNCTION("JOIN("", "",ARRAYFORMULA(IFERROR(VLOOKUP(VALUE(TRIM(SPLIT(D162,"",""))), QUERY(goles!A:C,""select A, sum(C) where B='""&amp;A162&amp;""' group by A""),2,FALSE),0)))"),"0, 0, 0")</f>
        <v>0, 0, 0</v>
      </c>
      <c r="G162" s="5" t="s">
        <v>867</v>
      </c>
      <c r="H162" s="5" t="s">
        <v>868</v>
      </c>
      <c r="I162" s="7">
        <v>30400.0</v>
      </c>
      <c r="J162" s="6" t="s">
        <v>869</v>
      </c>
      <c r="K162" s="5" t="s">
        <v>35</v>
      </c>
      <c r="L162" s="5" t="s">
        <v>35</v>
      </c>
      <c r="M162" s="5" t="s">
        <v>25</v>
      </c>
      <c r="N162" s="9" t="s">
        <v>36</v>
      </c>
      <c r="O162" s="9" t="s">
        <v>37</v>
      </c>
      <c r="P162" s="10">
        <v>-34.89453803</v>
      </c>
      <c r="Q162" s="10">
        <v>-56.15278107</v>
      </c>
      <c r="R162" s="5" t="s">
        <v>870</v>
      </c>
      <c r="S162" s="14" t="s">
        <v>871</v>
      </c>
      <c r="T162" s="12"/>
      <c r="U162" s="12"/>
    </row>
    <row r="163">
      <c r="A163" s="5" t="s">
        <v>872</v>
      </c>
      <c r="B163" s="5" t="s">
        <v>46</v>
      </c>
      <c r="C163" s="6">
        <v>2.0</v>
      </c>
      <c r="D163" s="6" t="s">
        <v>32</v>
      </c>
      <c r="E163" s="5" t="str">
        <f>IFERROR(__xludf.DUMMYFUNCTION("TEXTJOIN("", "",TRUE,ARRAYFORMULA(IF(COUNTIFS(capitanes!A:A,SPLIT(D163,"",""),capitanes!B:B,A163)&gt;0,1,0)))"),"0, 0")</f>
        <v>0, 0</v>
      </c>
      <c r="F163" s="5" t="str">
        <f>IFERROR(__xludf.DUMMYFUNCTION("JOIN("", "",ARRAYFORMULA(IFERROR(VLOOKUP(VALUE(TRIM(SPLIT(D163,"",""))), QUERY(goles!A:C,""select A, sum(C) where B='""&amp;A163&amp;""' group by A""),2,FALSE),0)))"),"0, 0")</f>
        <v>0, 0</v>
      </c>
      <c r="G163" s="5" t="s">
        <v>873</v>
      </c>
      <c r="H163" s="5" t="s">
        <v>874</v>
      </c>
      <c r="I163" s="7">
        <v>35734.0</v>
      </c>
      <c r="J163" s="6" t="s">
        <v>875</v>
      </c>
      <c r="K163" s="5" t="s">
        <v>35</v>
      </c>
      <c r="L163" s="5" t="s">
        <v>35</v>
      </c>
      <c r="M163" s="5" t="s">
        <v>25</v>
      </c>
      <c r="N163" s="9" t="s">
        <v>36</v>
      </c>
      <c r="O163" s="9" t="s">
        <v>37</v>
      </c>
      <c r="P163" s="10">
        <v>-34.89453803</v>
      </c>
      <c r="Q163" s="10">
        <v>-56.15278107</v>
      </c>
      <c r="R163" s="5" t="s">
        <v>876</v>
      </c>
      <c r="S163" s="14" t="s">
        <v>877</v>
      </c>
      <c r="T163" s="12"/>
      <c r="U163" s="12"/>
    </row>
    <row r="164">
      <c r="A164" s="5" t="s">
        <v>878</v>
      </c>
      <c r="B164" s="5" t="s">
        <v>46</v>
      </c>
      <c r="C164" s="6">
        <v>1.0</v>
      </c>
      <c r="D164" s="6">
        <v>1950.0</v>
      </c>
      <c r="E164" s="5" t="str">
        <f>IFERROR(__xludf.DUMMYFUNCTION("TEXTJOIN("", "",TRUE,ARRAYFORMULA(IF(COUNTIFS(capitanes!A:A,SPLIT(D164,"",""),capitanes!B:B,A164)&gt;0,1,0)))"),"0")</f>
        <v>0</v>
      </c>
      <c r="F164" s="5" t="str">
        <f>IFERROR(__xludf.DUMMYFUNCTION("JOIN("", "",ARRAYFORMULA(IFERROR(VLOOKUP(VALUE(TRIM(SPLIT(D164,"",""))), QUERY(goles!A:C,""select A, sum(C) where B='""&amp;A164&amp;""' group by A""),2,FALSE),0)))"),"0")</f>
        <v>0</v>
      </c>
      <c r="G164" s="5" t="s">
        <v>541</v>
      </c>
      <c r="H164" s="5" t="s">
        <v>25</v>
      </c>
      <c r="I164" s="7">
        <v>9350.0</v>
      </c>
      <c r="J164" s="8">
        <v>9291.0</v>
      </c>
      <c r="K164" s="5" t="s">
        <v>237</v>
      </c>
      <c r="L164" s="5" t="s">
        <v>237</v>
      </c>
      <c r="M164" s="5" t="s">
        <v>25</v>
      </c>
      <c r="N164" s="9" t="s">
        <v>238</v>
      </c>
      <c r="O164" s="9" t="s">
        <v>239</v>
      </c>
      <c r="P164" s="10">
        <v>-30.39450316</v>
      </c>
      <c r="Q164" s="10">
        <v>-56.45750082</v>
      </c>
      <c r="R164" s="5" t="s">
        <v>879</v>
      </c>
      <c r="S164" s="14" t="s">
        <v>880</v>
      </c>
      <c r="T164" s="12"/>
      <c r="U164" s="12"/>
    </row>
    <row r="165">
      <c r="A165" s="5" t="s">
        <v>881</v>
      </c>
      <c r="B165" s="5" t="s">
        <v>31</v>
      </c>
      <c r="C165" s="6">
        <v>2.0</v>
      </c>
      <c r="D165" s="5" t="s">
        <v>783</v>
      </c>
      <c r="E165" s="5" t="str">
        <f>IFERROR(__xludf.DUMMYFUNCTION("TEXTJOIN("", "",TRUE,ARRAYFORMULA(IF(COUNTIFS(capitanes!A:A,SPLIT(D165,"",""),capitanes!B:B,A165)&gt;0,1,0)))"),"0, 0")</f>
        <v>0, 0</v>
      </c>
      <c r="F165" s="5" t="str">
        <f>IFERROR(__xludf.DUMMYFUNCTION("JOIN("", "",ARRAYFORMULA(IFERROR(VLOOKUP(VALUE(TRIM(SPLIT(D165,"",""))), QUERY(goles!A:C,""select A, sum(C) where B='""&amp;A165&amp;""' group by A""),2,FALSE),0)))"),"0, 0")</f>
        <v>0, 0</v>
      </c>
      <c r="G165" s="5" t="s">
        <v>882</v>
      </c>
      <c r="H165" s="5" t="s">
        <v>22</v>
      </c>
      <c r="I165" s="7">
        <v>33474.0</v>
      </c>
      <c r="J165" s="6" t="s">
        <v>883</v>
      </c>
      <c r="K165" s="5" t="s">
        <v>884</v>
      </c>
      <c r="L165" s="5" t="s">
        <v>24</v>
      </c>
      <c r="M165" s="5" t="s">
        <v>25</v>
      </c>
      <c r="N165" s="9" t="s">
        <v>885</v>
      </c>
      <c r="O165" s="9" t="s">
        <v>886</v>
      </c>
      <c r="P165" s="10">
        <v>-34.54358371</v>
      </c>
      <c r="Q165" s="10">
        <v>-55.87103908</v>
      </c>
      <c r="R165" s="5" t="s">
        <v>887</v>
      </c>
      <c r="S165" s="14" t="s">
        <v>888</v>
      </c>
      <c r="T165" s="12"/>
      <c r="U165" s="12"/>
    </row>
    <row r="166">
      <c r="A166" s="5" t="s">
        <v>889</v>
      </c>
      <c r="B166" s="5" t="s">
        <v>46</v>
      </c>
      <c r="C166" s="6">
        <v>2.0</v>
      </c>
      <c r="D166" s="6" t="s">
        <v>32</v>
      </c>
      <c r="E166" s="5" t="str">
        <f>IFERROR(__xludf.DUMMYFUNCTION("TEXTJOIN("", "",TRUE,ARRAYFORMULA(IF(COUNTIFS(capitanes!A:A,SPLIT(D166,"",""),capitanes!B:B,A166)&gt;0,1,0)))"),"0, 0")</f>
        <v>0, 0</v>
      </c>
      <c r="F166" s="5" t="str">
        <f>IFERROR(__xludf.DUMMYFUNCTION("JOIN("", "",ARRAYFORMULA(IFERROR(VLOOKUP(VALUE(TRIM(SPLIT(D166,"",""))), QUERY(goles!A:C,""select A, sum(C) where B='""&amp;A166&amp;""' group by A""),2,FALSE),0)))"),"0, 0")</f>
        <v>0, 0</v>
      </c>
      <c r="G166" s="5" t="s">
        <v>890</v>
      </c>
      <c r="H166" s="5" t="s">
        <v>891</v>
      </c>
      <c r="I166" s="7">
        <v>35743.0</v>
      </c>
      <c r="J166" s="8">
        <v>35684.0</v>
      </c>
      <c r="K166" s="5" t="s">
        <v>892</v>
      </c>
      <c r="L166" s="5" t="s">
        <v>24</v>
      </c>
      <c r="M166" s="5" t="s">
        <v>25</v>
      </c>
      <c r="N166" s="9" t="s">
        <v>893</v>
      </c>
      <c r="O166" s="9" t="s">
        <v>894</v>
      </c>
      <c r="P166" s="10">
        <v>-34.69195505</v>
      </c>
      <c r="Q166" s="10">
        <v>-55.89934107</v>
      </c>
      <c r="R166" s="5" t="s">
        <v>895</v>
      </c>
      <c r="S166" s="14" t="s">
        <v>896</v>
      </c>
      <c r="T166" s="12"/>
      <c r="U166" s="12"/>
    </row>
    <row r="167">
      <c r="A167" s="5" t="s">
        <v>897</v>
      </c>
      <c r="B167" s="5" t="s">
        <v>46</v>
      </c>
      <c r="C167" s="6">
        <v>1.0</v>
      </c>
      <c r="D167" s="6">
        <v>2010.0</v>
      </c>
      <c r="E167" s="5" t="str">
        <f>IFERROR(__xludf.DUMMYFUNCTION("TEXTJOIN("", "",TRUE,ARRAYFORMULA(IF(COUNTIFS(capitanes!A:A,SPLIT(D167,"",""),capitanes!B:B,A167)&gt;0,1,0)))"),"0")</f>
        <v>0</v>
      </c>
      <c r="F167" s="5" t="str">
        <f>IFERROR(__xludf.DUMMYFUNCTION("JOIN("", "",ARRAYFORMULA(IFERROR(VLOOKUP(VALUE(TRIM(SPLIT(D167,"",""))), QUERY(goles!A:C,""select A, sum(C) where B='""&amp;A167&amp;""' group by A""),2,FALSE),0)))"),"0")</f>
        <v>0</v>
      </c>
      <c r="G167" s="5" t="s">
        <v>71</v>
      </c>
      <c r="H167" s="5" t="s">
        <v>72</v>
      </c>
      <c r="I167" s="7">
        <v>30235.0</v>
      </c>
      <c r="J167" s="8">
        <v>30265.0</v>
      </c>
      <c r="K167" s="5" t="s">
        <v>35</v>
      </c>
      <c r="L167" s="5" t="s">
        <v>35</v>
      </c>
      <c r="M167" s="5" t="s">
        <v>25</v>
      </c>
      <c r="N167" s="9" t="s">
        <v>36</v>
      </c>
      <c r="O167" s="9" t="s">
        <v>37</v>
      </c>
      <c r="P167" s="10">
        <v>-34.89453803</v>
      </c>
      <c r="Q167" s="10">
        <v>-56.15278107</v>
      </c>
      <c r="R167" s="14" t="s">
        <v>898</v>
      </c>
      <c r="S167" s="14" t="s">
        <v>899</v>
      </c>
      <c r="T167" s="12"/>
      <c r="U167" s="12"/>
    </row>
    <row r="168">
      <c r="A168" s="5" t="s">
        <v>900</v>
      </c>
      <c r="B168" s="5" t="s">
        <v>20</v>
      </c>
      <c r="C168" s="6">
        <v>2.0</v>
      </c>
      <c r="D168" s="6" t="s">
        <v>783</v>
      </c>
      <c r="E168" s="5" t="str">
        <f>IFERROR(__xludf.DUMMYFUNCTION("TEXTJOIN("", "",TRUE,ARRAYFORMULA(IF(COUNTIFS(capitanes!A:A,SPLIT(D168,"",""),capitanes!B:B,A168)&gt;0,1,0)))"),"0, 0")</f>
        <v>0, 0</v>
      </c>
      <c r="F168" s="5" t="str">
        <f>IFERROR(__xludf.DUMMYFUNCTION("JOIN("", "",ARRAYFORMULA(IFERROR(VLOOKUP(VALUE(TRIM(SPLIT(D168,"",""))), QUERY(goles!A:C,""select A, sum(C) where B='""&amp;A168&amp;""' group by A""),2,FALSE),0)))"),"0, 0")</f>
        <v>0, 0</v>
      </c>
      <c r="G168" s="5" t="s">
        <v>901</v>
      </c>
      <c r="H168" s="5" t="s">
        <v>902</v>
      </c>
      <c r="I168" s="7">
        <v>35291.0</v>
      </c>
      <c r="J168" s="6" t="s">
        <v>903</v>
      </c>
      <c r="K168" s="5" t="s">
        <v>48</v>
      </c>
      <c r="L168" s="5" t="s">
        <v>48</v>
      </c>
      <c r="M168" s="5" t="s">
        <v>25</v>
      </c>
      <c r="N168" s="9" t="s">
        <v>49</v>
      </c>
      <c r="O168" s="9" t="s">
        <v>50</v>
      </c>
      <c r="P168" s="10">
        <v>-32.32100867</v>
      </c>
      <c r="Q168" s="10">
        <v>-58.08768999</v>
      </c>
      <c r="R168" s="5" t="s">
        <v>904</v>
      </c>
      <c r="S168" s="14" t="s">
        <v>905</v>
      </c>
      <c r="T168" s="12"/>
      <c r="U168" s="12"/>
    </row>
    <row r="169">
      <c r="A169" s="16" t="s">
        <v>906</v>
      </c>
      <c r="B169" s="16" t="s">
        <v>20</v>
      </c>
      <c r="C169" s="16">
        <v>1.0</v>
      </c>
      <c r="D169" s="16">
        <v>2026.0</v>
      </c>
      <c r="E169" s="5" t="str">
        <f>IFERROR(__xludf.DUMMYFUNCTION("TEXTJOIN("", "",TRUE,ARRAYFORMULA(IF(COUNTIFS(capitanes!A:A,SPLIT(D169,"",""),capitanes!B:B,A169)&gt;0,1,0)))"),"0")</f>
        <v>0</v>
      </c>
      <c r="F169" s="5" t="str">
        <f>IFERROR(__xludf.DUMMYFUNCTION("JOIN("", "",ARRAYFORMULA(IFERROR(VLOOKUP(VALUE(TRIM(SPLIT(D169,"",""))), QUERY(goles!A:C,""select A, sum(C) where B='""&amp;A169&amp;""' group by A""),2,FALSE),0)))"),"0")</f>
        <v>0</v>
      </c>
      <c r="G169" s="16" t="s">
        <v>907</v>
      </c>
      <c r="H169" s="16" t="s">
        <v>908</v>
      </c>
      <c r="I169" s="17">
        <v>36571.0</v>
      </c>
      <c r="J169" s="16" t="s">
        <v>909</v>
      </c>
      <c r="K169" s="16" t="s">
        <v>35</v>
      </c>
      <c r="L169" s="5" t="s">
        <v>35</v>
      </c>
      <c r="M169" s="5" t="s">
        <v>25</v>
      </c>
      <c r="N169" s="9" t="s">
        <v>36</v>
      </c>
      <c r="O169" s="9" t="s">
        <v>37</v>
      </c>
      <c r="P169" s="10">
        <v>-34.89453803</v>
      </c>
      <c r="Q169" s="10">
        <v>-56.15278107</v>
      </c>
      <c r="R169" s="19" t="s">
        <v>910</v>
      </c>
      <c r="S169" s="19" t="s">
        <v>911</v>
      </c>
      <c r="T169" s="12"/>
      <c r="U169" s="12"/>
    </row>
    <row r="170">
      <c r="A170" s="5" t="s">
        <v>912</v>
      </c>
      <c r="B170" s="5" t="s">
        <v>46</v>
      </c>
      <c r="C170" s="6">
        <v>3.0</v>
      </c>
      <c r="D170" s="5" t="s">
        <v>866</v>
      </c>
      <c r="E170" s="5" t="str">
        <f>IFERROR(__xludf.DUMMYFUNCTION("TEXTJOIN("", "",TRUE,ARRAYFORMULA(IF(COUNTIFS(capitanes!A:A,SPLIT(D170,"",""),capitanes!B:B,A170)&gt;0,1,0)))"),"0, 0, 0")</f>
        <v>0, 0, 0</v>
      </c>
      <c r="F170" s="5" t="str">
        <f>IFERROR(__xludf.DUMMYFUNCTION("JOIN("", "",ARRAYFORMULA(IFERROR(VLOOKUP(VALUE(TRIM(SPLIT(D170,"",""))), QUERY(goles!A:C,""select A, sum(C) where B='""&amp;A170&amp;""' group by A""),2,FALSE),0)))"),"1, 0, 0")</f>
        <v>1, 0, 0</v>
      </c>
      <c r="G170" s="5" t="s">
        <v>913</v>
      </c>
      <c r="H170" s="5" t="s">
        <v>914</v>
      </c>
      <c r="I170" s="7">
        <v>30841.0</v>
      </c>
      <c r="J170" s="8">
        <v>30900.0</v>
      </c>
      <c r="K170" s="5" t="s">
        <v>35</v>
      </c>
      <c r="L170" s="5" t="s">
        <v>35</v>
      </c>
      <c r="M170" s="5" t="s">
        <v>25</v>
      </c>
      <c r="N170" s="9" t="s">
        <v>36</v>
      </c>
      <c r="O170" s="9" t="s">
        <v>37</v>
      </c>
      <c r="P170" s="10">
        <v>-34.89453803</v>
      </c>
      <c r="Q170" s="10">
        <v>-56.15278107</v>
      </c>
      <c r="R170" s="14" t="s">
        <v>915</v>
      </c>
      <c r="S170" s="14" t="s">
        <v>916</v>
      </c>
      <c r="T170" s="12"/>
      <c r="U170" s="12"/>
    </row>
    <row r="171">
      <c r="A171" s="5" t="s">
        <v>917</v>
      </c>
      <c r="B171" s="5" t="s">
        <v>20</v>
      </c>
      <c r="C171" s="6">
        <v>1.0</v>
      </c>
      <c r="D171" s="6">
        <v>1930.0</v>
      </c>
      <c r="E171" s="5" t="str">
        <f>IFERROR(__xludf.DUMMYFUNCTION("TEXTJOIN("", "",TRUE,ARRAYFORMULA(IF(COUNTIFS(capitanes!A:A,SPLIT(D171,"",""),capitanes!B:B,A171)&gt;0,1,0)))"),"0")</f>
        <v>0</v>
      </c>
      <c r="F171" s="5" t="str">
        <f>IFERROR(__xludf.DUMMYFUNCTION("JOIN("", "",ARRAYFORMULA(IFERROR(VLOOKUP(VALUE(TRIM(SPLIT(D171,"",""))), QUERY(goles!A:C,""select A, sum(C) where B='""&amp;A171&amp;""' group by A""),2,FALSE),0)))"),"2")</f>
        <v>2</v>
      </c>
      <c r="G171" s="5" t="s">
        <v>342</v>
      </c>
      <c r="H171" s="5" t="s">
        <v>25</v>
      </c>
      <c r="I171" s="7">
        <v>3096.0</v>
      </c>
      <c r="J171" s="6" t="s">
        <v>918</v>
      </c>
      <c r="K171" s="5" t="s">
        <v>35</v>
      </c>
      <c r="L171" s="5" t="s">
        <v>35</v>
      </c>
      <c r="M171" s="5" t="s">
        <v>25</v>
      </c>
      <c r="N171" s="9" t="s">
        <v>36</v>
      </c>
      <c r="O171" s="9" t="s">
        <v>37</v>
      </c>
      <c r="P171" s="10">
        <v>-34.89453803</v>
      </c>
      <c r="Q171" s="10">
        <v>-56.15278107</v>
      </c>
      <c r="R171" s="14" t="s">
        <v>919</v>
      </c>
      <c r="S171" s="14" t="s">
        <v>920</v>
      </c>
      <c r="T171" s="12"/>
      <c r="U171" s="12"/>
    </row>
    <row r="172">
      <c r="A172" s="5" t="s">
        <v>921</v>
      </c>
      <c r="B172" s="5" t="s">
        <v>31</v>
      </c>
      <c r="C172" s="6">
        <v>1.0</v>
      </c>
      <c r="D172" s="6">
        <v>1986.0</v>
      </c>
      <c r="E172" s="5" t="str">
        <f>IFERROR(__xludf.DUMMYFUNCTION("TEXTJOIN("", "",TRUE,ARRAYFORMULA(IF(COUNTIFS(capitanes!A:A,SPLIT(D172,"",""),capitanes!B:B,A172)&gt;0,1,0)))"),"0")</f>
        <v>0</v>
      </c>
      <c r="F172" s="5" t="str">
        <f>IFERROR(__xludf.DUMMYFUNCTION("JOIN("", "",ARRAYFORMULA(IFERROR(VLOOKUP(VALUE(TRIM(SPLIT(D172,"",""))), QUERY(goles!A:C,""select A, sum(C) where B='""&amp;A172&amp;""' group by A""),2,FALSE),0)))"),"0")</f>
        <v>0</v>
      </c>
      <c r="G172" s="5" t="s">
        <v>54</v>
      </c>
      <c r="H172" s="5" t="s">
        <v>25</v>
      </c>
      <c r="I172" s="7">
        <v>22077.0</v>
      </c>
      <c r="J172" s="8">
        <v>22195.0</v>
      </c>
      <c r="K172" s="5" t="s">
        <v>35</v>
      </c>
      <c r="L172" s="5" t="s">
        <v>35</v>
      </c>
      <c r="M172" s="5" t="s">
        <v>25</v>
      </c>
      <c r="N172" s="9" t="s">
        <v>36</v>
      </c>
      <c r="O172" s="9" t="s">
        <v>37</v>
      </c>
      <c r="P172" s="10">
        <v>-34.89453803</v>
      </c>
      <c r="Q172" s="10">
        <v>-56.15278107</v>
      </c>
      <c r="R172" s="14" t="s">
        <v>922</v>
      </c>
      <c r="S172" s="24" t="s">
        <v>923</v>
      </c>
      <c r="T172" s="12"/>
      <c r="U172" s="12"/>
    </row>
    <row r="173">
      <c r="A173" s="5" t="s">
        <v>924</v>
      </c>
      <c r="B173" s="5" t="s">
        <v>20</v>
      </c>
      <c r="C173" s="6">
        <v>1.0</v>
      </c>
      <c r="D173" s="6">
        <v>1930.0</v>
      </c>
      <c r="E173" s="5" t="str">
        <f>IFERROR(__xludf.DUMMYFUNCTION("TEXTJOIN("", "",TRUE,ARRAYFORMULA(IF(COUNTIFS(capitanes!A:A,SPLIT(D173,"",""),capitanes!B:B,A173)&gt;0,1,0)))"),"0")</f>
        <v>0</v>
      </c>
      <c r="F173" s="5" t="str">
        <f>IFERROR(__xludf.DUMMYFUNCTION("JOIN("", "",ARRAYFORMULA(IFERROR(VLOOKUP(VALUE(TRIM(SPLIT(D173,"",""))), QUERY(goles!A:C,""select A, sum(C) where B='""&amp;A173&amp;""' group by A""),2,FALSE),0)))"),"0")</f>
        <v>0</v>
      </c>
      <c r="G173" s="5" t="s">
        <v>59</v>
      </c>
      <c r="H173" s="5" t="s">
        <v>25</v>
      </c>
      <c r="I173" s="7">
        <v>1958.0</v>
      </c>
      <c r="J173" s="8">
        <v>2136.0</v>
      </c>
      <c r="K173" s="5" t="s">
        <v>35</v>
      </c>
      <c r="L173" s="5" t="s">
        <v>35</v>
      </c>
      <c r="M173" s="5" t="s">
        <v>25</v>
      </c>
      <c r="N173" s="9" t="s">
        <v>36</v>
      </c>
      <c r="O173" s="9" t="s">
        <v>37</v>
      </c>
      <c r="P173" s="10">
        <v>-34.89453803</v>
      </c>
      <c r="Q173" s="10">
        <v>-56.15278107</v>
      </c>
      <c r="R173" s="14" t="s">
        <v>925</v>
      </c>
      <c r="S173" s="14" t="s">
        <v>926</v>
      </c>
      <c r="T173" s="12"/>
      <c r="U173" s="12"/>
    </row>
    <row r="174">
      <c r="A174" s="5" t="s">
        <v>927</v>
      </c>
      <c r="B174" s="5" t="s">
        <v>20</v>
      </c>
      <c r="C174" s="6">
        <v>1.0</v>
      </c>
      <c r="D174" s="6">
        <v>1966.0</v>
      </c>
      <c r="E174" s="5" t="str">
        <f>IFERROR(__xludf.DUMMYFUNCTION("TEXTJOIN("", "",TRUE,ARRAYFORMULA(IF(COUNTIFS(capitanes!A:A,SPLIT(D174,"",""),capitanes!B:B,A174)&gt;0,1,0)))"),"0")</f>
        <v>0</v>
      </c>
      <c r="F174" s="5" t="str">
        <f>IFERROR(__xludf.DUMMYFUNCTION("JOIN("", "",ARRAYFORMULA(IFERROR(VLOOKUP(VALUE(TRIM(SPLIT(D174,"",""))), QUERY(goles!A:C,""select A, sum(C) where B='""&amp;A174&amp;""' group by A""),2,FALSE),0)))"),"0")</f>
        <v>0</v>
      </c>
      <c r="G174" s="5" t="s">
        <v>59</v>
      </c>
      <c r="H174" s="5" t="s">
        <v>25</v>
      </c>
      <c r="I174" s="7">
        <v>16933.0</v>
      </c>
      <c r="J174" s="8">
        <v>17111.0</v>
      </c>
      <c r="K174" s="5" t="s">
        <v>928</v>
      </c>
      <c r="L174" s="20"/>
      <c r="M174" s="5" t="s">
        <v>214</v>
      </c>
      <c r="N174" s="9" t="s">
        <v>929</v>
      </c>
      <c r="O174" s="9" t="s">
        <v>930</v>
      </c>
      <c r="P174" s="21"/>
      <c r="Q174" s="21"/>
      <c r="R174" s="14" t="s">
        <v>931</v>
      </c>
      <c r="S174" s="14" t="s">
        <v>932</v>
      </c>
      <c r="T174" s="12"/>
      <c r="U174" s="12"/>
    </row>
    <row r="175">
      <c r="A175" s="5" t="s">
        <v>933</v>
      </c>
      <c r="B175" s="5" t="s">
        <v>46</v>
      </c>
      <c r="C175" s="6">
        <v>1.0</v>
      </c>
      <c r="D175" s="6">
        <v>1954.0</v>
      </c>
      <c r="E175" s="5" t="str">
        <f>IFERROR(__xludf.DUMMYFUNCTION("TEXTJOIN("", "",TRUE,ARRAYFORMULA(IF(COUNTIFS(capitanes!A:A,SPLIT(D175,"",""),capitanes!B:B,A175)&gt;0,1,0)))"),"0")</f>
        <v>0</v>
      </c>
      <c r="F175" s="5" t="str">
        <f>IFERROR(__xludf.DUMMYFUNCTION("JOIN("", "",ARRAYFORMULA(IFERROR(VLOOKUP(VALUE(TRIM(SPLIT(D175,"",""))), QUERY(goles!A:C,""select A, sum(C) where B='""&amp;A175&amp;""' group by A""),2,FALSE),0)))"),"0")</f>
        <v>0</v>
      </c>
      <c r="G175" s="5" t="s">
        <v>54</v>
      </c>
      <c r="H175" s="5" t="s">
        <v>25</v>
      </c>
      <c r="I175" s="7">
        <v>12098.0</v>
      </c>
      <c r="J175" s="6" t="s">
        <v>934</v>
      </c>
      <c r="K175" s="5" t="s">
        <v>35</v>
      </c>
      <c r="L175" s="5" t="s">
        <v>35</v>
      </c>
      <c r="M175" s="5" t="s">
        <v>25</v>
      </c>
      <c r="N175" s="9" t="s">
        <v>36</v>
      </c>
      <c r="O175" s="9" t="s">
        <v>37</v>
      </c>
      <c r="P175" s="10">
        <v>-34.89453803</v>
      </c>
      <c r="Q175" s="10">
        <v>-56.15278107</v>
      </c>
      <c r="R175" s="14" t="s">
        <v>935</v>
      </c>
      <c r="S175" s="24" t="s">
        <v>936</v>
      </c>
      <c r="T175" s="12"/>
      <c r="U175" s="12"/>
    </row>
    <row r="176">
      <c r="A176" s="5" t="s">
        <v>937</v>
      </c>
      <c r="B176" s="5" t="s">
        <v>31</v>
      </c>
      <c r="C176" s="6">
        <v>1.0</v>
      </c>
      <c r="D176" s="6">
        <v>2018.0</v>
      </c>
      <c r="E176" s="5" t="str">
        <f>IFERROR(__xludf.DUMMYFUNCTION("TEXTJOIN("", "",TRUE,ARRAYFORMULA(IF(COUNTIFS(capitanes!A:A,SPLIT(D176,"",""),capitanes!B:B,A176)&gt;0,1,0)))"),"0")</f>
        <v>0</v>
      </c>
      <c r="F176" s="5" t="str">
        <f>IFERROR(__xludf.DUMMYFUNCTION("JOIN("", "",ARRAYFORMULA(IFERROR(VLOOKUP(VALUE(TRIM(SPLIT(D176,"",""))), QUERY(goles!A:C,""select A, sum(C) where B='""&amp;A176&amp;""' group by A""),2,FALSE),0)))"),"0")</f>
        <v>0</v>
      </c>
      <c r="G176" s="5" t="s">
        <v>938</v>
      </c>
      <c r="H176" s="5" t="s">
        <v>136</v>
      </c>
      <c r="I176" s="7">
        <v>35061.0</v>
      </c>
      <c r="J176" s="6" t="s">
        <v>939</v>
      </c>
      <c r="K176" s="5" t="s">
        <v>333</v>
      </c>
      <c r="L176" s="5" t="s">
        <v>203</v>
      </c>
      <c r="M176" s="5" t="s">
        <v>25</v>
      </c>
      <c r="N176" s="9" t="s">
        <v>334</v>
      </c>
      <c r="O176" s="9" t="s">
        <v>335</v>
      </c>
      <c r="P176" s="10">
        <v>-34.9363138</v>
      </c>
      <c r="Q176" s="10">
        <v>-54.93782144</v>
      </c>
      <c r="R176" s="5" t="s">
        <v>940</v>
      </c>
      <c r="S176" s="14" t="s">
        <v>941</v>
      </c>
      <c r="T176" s="12"/>
      <c r="U176" s="12"/>
    </row>
    <row r="177">
      <c r="A177" s="5" t="s">
        <v>942</v>
      </c>
      <c r="B177" s="5" t="s">
        <v>46</v>
      </c>
      <c r="C177" s="6">
        <v>1.0</v>
      </c>
      <c r="D177" s="6">
        <v>1966.0</v>
      </c>
      <c r="E177" s="5" t="str">
        <f>IFERROR(__xludf.DUMMYFUNCTION("TEXTJOIN("", "",TRUE,ARRAYFORMULA(IF(COUNTIFS(capitanes!A:A,SPLIT(D177,"",""),capitanes!B:B,A177)&gt;0,1,0)))"),"0")</f>
        <v>0</v>
      </c>
      <c r="F177" s="5" t="str">
        <f>IFERROR(__xludf.DUMMYFUNCTION("JOIN("", "",ARRAYFORMULA(IFERROR(VLOOKUP(VALUE(TRIM(SPLIT(D177,"",""))), QUERY(goles!A:C,""select A, sum(C) where B='""&amp;A177&amp;""' group by A""),2,FALSE),0)))"),"0")</f>
        <v>0</v>
      </c>
      <c r="G177" s="5" t="s">
        <v>54</v>
      </c>
      <c r="H177" s="5" t="s">
        <v>25</v>
      </c>
      <c r="I177" s="7">
        <v>15353.0</v>
      </c>
      <c r="J177" s="8">
        <v>15676.0</v>
      </c>
      <c r="K177" s="5" t="s">
        <v>35</v>
      </c>
      <c r="L177" s="5" t="s">
        <v>35</v>
      </c>
      <c r="M177" s="5" t="s">
        <v>25</v>
      </c>
      <c r="N177" s="9" t="s">
        <v>36</v>
      </c>
      <c r="O177" s="9" t="s">
        <v>37</v>
      </c>
      <c r="P177" s="10">
        <v>-34.89453803</v>
      </c>
      <c r="Q177" s="10">
        <v>-56.15278107</v>
      </c>
      <c r="R177" s="11" t="s">
        <v>943</v>
      </c>
      <c r="S177" s="11" t="s">
        <v>944</v>
      </c>
      <c r="T177" s="12"/>
      <c r="U177" s="12"/>
    </row>
    <row r="178">
      <c r="A178" s="5" t="s">
        <v>945</v>
      </c>
      <c r="B178" s="5" t="s">
        <v>46</v>
      </c>
      <c r="C178" s="6">
        <v>2.0</v>
      </c>
      <c r="D178" s="5" t="s">
        <v>122</v>
      </c>
      <c r="E178" s="5" t="str">
        <f>IFERROR(__xludf.DUMMYFUNCTION("TEXTJOIN("", "",TRUE,ARRAYFORMULA(IF(COUNTIFS(capitanes!A:A,SPLIT(D178,"",""),capitanes!B:B,A178)&gt;0,1,0)))"),"0, 0")</f>
        <v>0, 0</v>
      </c>
      <c r="F178" s="5" t="str">
        <f>IFERROR(__xludf.DUMMYFUNCTION("JOIN("", "",ARRAYFORMULA(IFERROR(VLOOKUP(VALUE(TRIM(SPLIT(D178,"",""))), QUERY(goles!A:C,""select A, sum(C) where B='""&amp;A178&amp;""' group by A""),2,FALSE),0)))"),"0, 0")</f>
        <v>0, 0</v>
      </c>
      <c r="G178" s="5" t="s">
        <v>946</v>
      </c>
      <c r="H178" s="5" t="s">
        <v>947</v>
      </c>
      <c r="I178" s="7">
        <v>22749.0</v>
      </c>
      <c r="J178" s="6" t="s">
        <v>948</v>
      </c>
      <c r="K178" s="5" t="s">
        <v>35</v>
      </c>
      <c r="L178" s="5" t="s">
        <v>35</v>
      </c>
      <c r="M178" s="5" t="s">
        <v>25</v>
      </c>
      <c r="N178" s="9" t="s">
        <v>36</v>
      </c>
      <c r="O178" s="9" t="s">
        <v>37</v>
      </c>
      <c r="P178" s="10">
        <v>-34.89453803</v>
      </c>
      <c r="Q178" s="10">
        <v>-56.15278107</v>
      </c>
      <c r="R178" s="5" t="s">
        <v>949</v>
      </c>
      <c r="S178" s="14" t="s">
        <v>950</v>
      </c>
      <c r="T178" s="12"/>
      <c r="U178" s="12"/>
    </row>
    <row r="179">
      <c r="A179" s="5" t="s">
        <v>951</v>
      </c>
      <c r="B179" s="5" t="s">
        <v>31</v>
      </c>
      <c r="C179" s="6">
        <v>1.0</v>
      </c>
      <c r="D179" s="6">
        <v>1954.0</v>
      </c>
      <c r="E179" s="5" t="str">
        <f>IFERROR(__xludf.DUMMYFUNCTION("TEXTJOIN("", "",TRUE,ARRAYFORMULA(IF(COUNTIFS(capitanes!A:A,SPLIT(D179,"",""),capitanes!B:B,A179)&gt;0,1,0)))"),"0")</f>
        <v>0</v>
      </c>
      <c r="F179" s="5" t="str">
        <f>IFERROR(__xludf.DUMMYFUNCTION("JOIN("", "",ARRAYFORMULA(IFERROR(VLOOKUP(VALUE(TRIM(SPLIT(D179,"",""))), QUERY(goles!A:C,""select A, sum(C) where B='""&amp;A179&amp;""' group by A""),2,FALSE),0)))"),"0")</f>
        <v>0</v>
      </c>
      <c r="G179" s="5" t="s">
        <v>59</v>
      </c>
      <c r="H179" s="5" t="s">
        <v>25</v>
      </c>
      <c r="I179" s="7">
        <v>10627.0</v>
      </c>
      <c r="J179" s="8">
        <v>10654.0</v>
      </c>
      <c r="K179" s="5" t="s">
        <v>952</v>
      </c>
      <c r="L179" s="5" t="s">
        <v>35</v>
      </c>
      <c r="M179" s="5" t="s">
        <v>25</v>
      </c>
      <c r="N179" s="9" t="s">
        <v>953</v>
      </c>
      <c r="O179" s="9" t="s">
        <v>954</v>
      </c>
      <c r="P179" s="10">
        <v>-34.89453803</v>
      </c>
      <c r="Q179" s="10">
        <v>-56.15278107</v>
      </c>
      <c r="R179" s="11" t="s">
        <v>955</v>
      </c>
      <c r="S179" s="11" t="s">
        <v>956</v>
      </c>
      <c r="T179" s="12"/>
      <c r="U179" s="12"/>
    </row>
    <row r="180">
      <c r="A180" s="5" t="s">
        <v>957</v>
      </c>
      <c r="B180" s="5" t="s">
        <v>31</v>
      </c>
      <c r="C180" s="6">
        <v>2.0</v>
      </c>
      <c r="D180" s="5" t="s">
        <v>284</v>
      </c>
      <c r="E180" s="5" t="str">
        <f>IFERROR(__xludf.DUMMYFUNCTION("TEXTJOIN("", "",TRUE,ARRAYFORMULA(IF(COUNTIFS(capitanes!A:A,SPLIT(D180,"",""),capitanes!B:B,A180)&gt;0,1,0)))"),"0, 0")</f>
        <v>0, 0</v>
      </c>
      <c r="F180" s="5" t="str">
        <f>IFERROR(__xludf.DUMMYFUNCTION("JOIN("", "",ARRAYFORMULA(IFERROR(VLOOKUP(VALUE(TRIM(SPLIT(D180,"",""))), QUERY(goles!A:C,""select A, sum(C) where B='""&amp;A180&amp;""' group by A""),2,FALSE),0)))"),"0, 0")</f>
        <v>0, 0</v>
      </c>
      <c r="G180" s="5" t="s">
        <v>54</v>
      </c>
      <c r="H180" s="5" t="s">
        <v>25</v>
      </c>
      <c r="I180" s="7">
        <v>13267.0</v>
      </c>
      <c r="J180" s="6" t="s">
        <v>958</v>
      </c>
      <c r="K180" s="5" t="s">
        <v>959</v>
      </c>
      <c r="L180" s="5" t="s">
        <v>237</v>
      </c>
      <c r="M180" s="5" t="s">
        <v>25</v>
      </c>
      <c r="N180" s="9" t="s">
        <v>960</v>
      </c>
      <c r="O180" s="9" t="s">
        <v>961</v>
      </c>
      <c r="P180" s="10">
        <v>-30.72018994</v>
      </c>
      <c r="Q180" s="10">
        <v>-57.3307277</v>
      </c>
      <c r="R180" s="5" t="s">
        <v>962</v>
      </c>
      <c r="S180" s="14" t="s">
        <v>963</v>
      </c>
      <c r="T180" s="12"/>
      <c r="U180" s="12"/>
    </row>
    <row r="181">
      <c r="A181" s="5" t="s">
        <v>964</v>
      </c>
      <c r="B181" s="5" t="s">
        <v>31</v>
      </c>
      <c r="C181" s="6">
        <v>2.0</v>
      </c>
      <c r="D181" s="6" t="s">
        <v>32</v>
      </c>
      <c r="E181" s="5" t="str">
        <f>IFERROR(__xludf.DUMMYFUNCTION("TEXTJOIN("", "",TRUE,ARRAYFORMULA(IF(COUNTIFS(capitanes!A:A,SPLIT(D181,"",""),capitanes!B:B,A181)&gt;0,1,0)))"),"0, 0")</f>
        <v>0, 0</v>
      </c>
      <c r="F181" s="5" t="str">
        <f>IFERROR(__xludf.DUMMYFUNCTION("JOIN("", "",ARRAYFORMULA(IFERROR(VLOOKUP(VALUE(TRIM(SPLIT(D181,"",""))), QUERY(goles!A:C,""select A, sum(C) where B='""&amp;A181&amp;""' group by A""),2,FALSE),0)))"),"0, 0")</f>
        <v>0, 0</v>
      </c>
      <c r="G181" s="5" t="s">
        <v>965</v>
      </c>
      <c r="H181" s="5" t="s">
        <v>966</v>
      </c>
      <c r="I181" s="7">
        <v>35582.0</v>
      </c>
      <c r="J181" s="8">
        <v>35436.0</v>
      </c>
      <c r="K181" s="5" t="s">
        <v>35</v>
      </c>
      <c r="L181" s="5" t="s">
        <v>35</v>
      </c>
      <c r="M181" s="5" t="s">
        <v>25</v>
      </c>
      <c r="N181" s="9" t="s">
        <v>36</v>
      </c>
      <c r="O181" s="9" t="s">
        <v>37</v>
      </c>
      <c r="P181" s="10">
        <v>-34.89453803</v>
      </c>
      <c r="Q181" s="10">
        <v>-56.15278107</v>
      </c>
      <c r="R181" s="5" t="s">
        <v>967</v>
      </c>
      <c r="S181" s="14" t="s">
        <v>968</v>
      </c>
      <c r="T181" s="12"/>
      <c r="U181" s="12"/>
    </row>
    <row r="182">
      <c r="A182" s="5" t="s">
        <v>969</v>
      </c>
      <c r="B182" s="5" t="s">
        <v>31</v>
      </c>
      <c r="C182" s="6">
        <v>2.0</v>
      </c>
      <c r="D182" s="5" t="s">
        <v>89</v>
      </c>
      <c r="E182" s="5" t="str">
        <f>IFERROR(__xludf.DUMMYFUNCTION("TEXTJOIN("", "",TRUE,ARRAYFORMULA(IF(COUNTIFS(capitanes!A:A,SPLIT(D182,"",""),capitanes!B:B,A182)&gt;0,1,0)))"),"0, 0")</f>
        <v>0, 0</v>
      </c>
      <c r="F182" s="5" t="str">
        <f>IFERROR(__xludf.DUMMYFUNCTION("JOIN("", "",ARRAYFORMULA(IFERROR(VLOOKUP(VALUE(TRIM(SPLIT(D182,"",""))), QUERY(goles!A:C,""select A, sum(C) where B='""&amp;A182&amp;""' group by A""),2,FALSE),0)))"),"0, 0")</f>
        <v>0, 0</v>
      </c>
      <c r="G182" s="5" t="s">
        <v>970</v>
      </c>
      <c r="H182" s="5" t="s">
        <v>971</v>
      </c>
      <c r="I182" s="7">
        <v>32588.0</v>
      </c>
      <c r="J182" s="6" t="s">
        <v>972</v>
      </c>
      <c r="K182" s="5" t="s">
        <v>48</v>
      </c>
      <c r="L182" s="5" t="s">
        <v>48</v>
      </c>
      <c r="M182" s="5" t="s">
        <v>25</v>
      </c>
      <c r="N182" s="9" t="s">
        <v>49</v>
      </c>
      <c r="O182" s="9" t="s">
        <v>50</v>
      </c>
      <c r="P182" s="10">
        <v>-32.32100867</v>
      </c>
      <c r="Q182" s="10">
        <v>-58.08768999</v>
      </c>
      <c r="R182" s="5" t="s">
        <v>973</v>
      </c>
      <c r="S182" s="14" t="s">
        <v>974</v>
      </c>
      <c r="T182" s="12"/>
      <c r="U182" s="12"/>
    </row>
    <row r="183">
      <c r="A183" s="5" t="s">
        <v>975</v>
      </c>
      <c r="B183" s="5" t="s">
        <v>31</v>
      </c>
      <c r="C183" s="6">
        <v>1.0</v>
      </c>
      <c r="D183" s="6">
        <v>2002.0</v>
      </c>
      <c r="E183" s="5" t="str">
        <f>IFERROR(__xludf.DUMMYFUNCTION("TEXTJOIN("", "",TRUE,ARRAYFORMULA(IF(COUNTIFS(capitanes!A:A,SPLIT(D183,"",""),capitanes!B:B,A183)&gt;0,1,0)))"),"0")</f>
        <v>0</v>
      </c>
      <c r="F183" s="5" t="str">
        <f>IFERROR(__xludf.DUMMYFUNCTION("JOIN("", "",ARRAYFORMULA(IFERROR(VLOOKUP(VALUE(TRIM(SPLIT(D183,"",""))), QUERY(goles!A:C,""select A, sum(C) where B='""&amp;A183&amp;""' group by A""),2,FALSE),0)))"),"0")</f>
        <v>0</v>
      </c>
      <c r="G183" s="5" t="s">
        <v>976</v>
      </c>
      <c r="H183" s="5" t="s">
        <v>227</v>
      </c>
      <c r="I183" s="7">
        <v>28640.0</v>
      </c>
      <c r="J183" s="6" t="s">
        <v>977</v>
      </c>
      <c r="K183" s="5" t="s">
        <v>35</v>
      </c>
      <c r="L183" s="5" t="s">
        <v>35</v>
      </c>
      <c r="M183" s="5" t="s">
        <v>25</v>
      </c>
      <c r="N183" s="9" t="s">
        <v>36</v>
      </c>
      <c r="O183" s="9" t="s">
        <v>37</v>
      </c>
      <c r="P183" s="10">
        <v>-34.89453803</v>
      </c>
      <c r="Q183" s="10">
        <v>-56.15278107</v>
      </c>
      <c r="R183" s="5" t="s">
        <v>978</v>
      </c>
      <c r="S183" s="24" t="s">
        <v>979</v>
      </c>
      <c r="T183" s="12"/>
      <c r="U183" s="12"/>
    </row>
    <row r="184">
      <c r="A184" s="5" t="s">
        <v>980</v>
      </c>
      <c r="B184" s="5" t="s">
        <v>31</v>
      </c>
      <c r="C184" s="6">
        <v>2.0</v>
      </c>
      <c r="D184" s="5" t="s">
        <v>370</v>
      </c>
      <c r="E184" s="5" t="str">
        <f>IFERROR(__xludf.DUMMYFUNCTION("TEXTJOIN("", "",TRUE,ARRAYFORMULA(IF(COUNTIFS(capitanes!A:A,SPLIT(D184,"",""),capitanes!B:B,A184)&gt;0,1,0)))"),"1, 1")</f>
        <v>1, 1</v>
      </c>
      <c r="F184" s="5" t="str">
        <f>IFERROR(__xludf.DUMMYFUNCTION("JOIN("", "",ARRAYFORMULA(IFERROR(VLOOKUP(VALUE(TRIM(SPLIT(D184,"",""))), QUERY(goles!A:C,""select A, sum(C) where B='""&amp;A184&amp;""' group by A""),2,FALSE),0)))"),"1, 1")</f>
        <v>1, 1</v>
      </c>
      <c r="G184" s="5" t="s">
        <v>54</v>
      </c>
      <c r="H184" s="5" t="s">
        <v>25</v>
      </c>
      <c r="I184" s="7">
        <v>6473.0</v>
      </c>
      <c r="J184" s="6" t="s">
        <v>981</v>
      </c>
      <c r="K184" s="5" t="s">
        <v>35</v>
      </c>
      <c r="L184" s="5" t="s">
        <v>35</v>
      </c>
      <c r="M184" s="5" t="s">
        <v>25</v>
      </c>
      <c r="N184" s="9" t="s">
        <v>36</v>
      </c>
      <c r="O184" s="9" t="s">
        <v>37</v>
      </c>
      <c r="P184" s="10">
        <v>-34.89453803</v>
      </c>
      <c r="Q184" s="10">
        <v>-56.15278107</v>
      </c>
      <c r="R184" s="14" t="s">
        <v>982</v>
      </c>
      <c r="S184" s="14" t="s">
        <v>983</v>
      </c>
      <c r="T184" s="12"/>
      <c r="U184" s="12"/>
    </row>
    <row r="185">
      <c r="A185" s="5" t="s">
        <v>984</v>
      </c>
      <c r="B185" s="5" t="s">
        <v>46</v>
      </c>
      <c r="C185" s="6">
        <v>2.0</v>
      </c>
      <c r="D185" s="5" t="s">
        <v>824</v>
      </c>
      <c r="E185" s="5" t="str">
        <f>IFERROR(__xludf.DUMMYFUNCTION("TEXTJOIN("", "",TRUE,ARRAYFORMULA(IF(COUNTIFS(capitanes!A:A,SPLIT(D185,"",""),capitanes!B:B,A185)&gt;0,1,0)))"),"0, 0")</f>
        <v>0, 0</v>
      </c>
      <c r="F185" s="5" t="str">
        <f>IFERROR(__xludf.DUMMYFUNCTION("JOIN("", "",ARRAYFORMULA(IFERROR(VLOOKUP(VALUE(TRIM(SPLIT(D185,"",""))), QUERY(goles!A:C,""select A, sum(C) where B='""&amp;A185&amp;""' group by A""),2,FALSE),0)))"),"0, 0")</f>
        <v>0, 0</v>
      </c>
      <c r="G185" s="5" t="s">
        <v>54</v>
      </c>
      <c r="H185" s="5" t="s">
        <v>25</v>
      </c>
      <c r="I185" s="7">
        <v>14192.0</v>
      </c>
      <c r="J185" s="8">
        <v>14103.0</v>
      </c>
      <c r="K185" s="5" t="s">
        <v>35</v>
      </c>
      <c r="L185" s="5" t="s">
        <v>35</v>
      </c>
      <c r="M185" s="5" t="s">
        <v>25</v>
      </c>
      <c r="N185" s="9" t="s">
        <v>36</v>
      </c>
      <c r="O185" s="9" t="s">
        <v>37</v>
      </c>
      <c r="P185" s="10">
        <v>-34.89453803</v>
      </c>
      <c r="Q185" s="10">
        <v>-56.15278107</v>
      </c>
      <c r="R185" s="11" t="s">
        <v>985</v>
      </c>
      <c r="S185" s="11" t="s">
        <v>986</v>
      </c>
      <c r="T185" s="12"/>
      <c r="U185" s="12"/>
    </row>
    <row r="186">
      <c r="A186" s="5" t="s">
        <v>987</v>
      </c>
      <c r="B186" s="5" t="s">
        <v>20</v>
      </c>
      <c r="C186" s="6">
        <v>1.0</v>
      </c>
      <c r="D186" s="6">
        <v>1954.0</v>
      </c>
      <c r="E186" s="5" t="str">
        <f>IFERROR(__xludf.DUMMYFUNCTION("TEXTJOIN("", "",TRUE,ARRAYFORMULA(IF(COUNTIFS(capitanes!A:A,SPLIT(D186,"",""),capitanes!B:B,A186)&gt;0,1,0)))"),"0")</f>
        <v>0</v>
      </c>
      <c r="F186" s="5" t="str">
        <f>IFERROR(__xludf.DUMMYFUNCTION("JOIN("", "",ARRAYFORMULA(IFERROR(VLOOKUP(VALUE(TRIM(SPLIT(D186,"",""))), QUERY(goles!A:C,""select A, sum(C) where B='""&amp;A186&amp;""' group by A""),2,FALSE),0)))"),"0")</f>
        <v>0</v>
      </c>
      <c r="G186" s="5" t="s">
        <v>59</v>
      </c>
      <c r="H186" s="5" t="s">
        <v>25</v>
      </c>
      <c r="I186" s="7">
        <v>12638.0</v>
      </c>
      <c r="J186" s="8">
        <v>12608.0</v>
      </c>
      <c r="K186" s="5" t="s">
        <v>988</v>
      </c>
      <c r="L186" s="5" t="s">
        <v>989</v>
      </c>
      <c r="M186" s="5" t="s">
        <v>25</v>
      </c>
      <c r="N186" s="9" t="s">
        <v>990</v>
      </c>
      <c r="O186" s="9" t="s">
        <v>991</v>
      </c>
      <c r="P186" s="10">
        <v>-34.32933868</v>
      </c>
      <c r="Q186" s="10">
        <v>-56.71045708</v>
      </c>
      <c r="R186" s="5" t="s">
        <v>992</v>
      </c>
      <c r="S186" s="24" t="s">
        <v>993</v>
      </c>
      <c r="T186" s="12"/>
      <c r="U186" s="12"/>
    </row>
    <row r="187">
      <c r="A187" s="5" t="s">
        <v>994</v>
      </c>
      <c r="B187" s="5" t="s">
        <v>20</v>
      </c>
      <c r="C187" s="6">
        <v>2.0</v>
      </c>
      <c r="D187" s="5" t="s">
        <v>370</v>
      </c>
      <c r="E187" s="5" t="str">
        <f>IFERROR(__xludf.DUMMYFUNCTION("TEXTJOIN("", "",TRUE,ARRAYFORMULA(IF(COUNTIFS(capitanes!A:A,SPLIT(D187,"",""),capitanes!B:B,A187)&gt;0,1,0)))"),"0, 0")</f>
        <v>0, 0</v>
      </c>
      <c r="F187" s="5" t="str">
        <f>IFERROR(__xludf.DUMMYFUNCTION("JOIN("", "",ARRAYFORMULA(IFERROR(VLOOKUP(VALUE(TRIM(SPLIT(D187,"",""))), QUERY(goles!A:C,""select A, sum(C) where B='""&amp;A187&amp;""' group by A""),2,FALSE),0)))"),"0, 0")</f>
        <v>0, 0</v>
      </c>
      <c r="G187" s="5" t="s">
        <v>672</v>
      </c>
      <c r="H187" s="5" t="s">
        <v>663</v>
      </c>
      <c r="I187" s="7">
        <v>10201.0</v>
      </c>
      <c r="J187" s="8">
        <v>9994.0</v>
      </c>
      <c r="K187" s="5" t="s">
        <v>35</v>
      </c>
      <c r="L187" s="5" t="s">
        <v>35</v>
      </c>
      <c r="M187" s="5" t="s">
        <v>25</v>
      </c>
      <c r="N187" s="9" t="s">
        <v>36</v>
      </c>
      <c r="O187" s="9" t="s">
        <v>37</v>
      </c>
      <c r="P187" s="10">
        <v>-34.89453803</v>
      </c>
      <c r="Q187" s="10">
        <v>-56.15278107</v>
      </c>
      <c r="R187" s="5" t="s">
        <v>995</v>
      </c>
      <c r="S187" s="14" t="s">
        <v>996</v>
      </c>
      <c r="T187" s="12"/>
      <c r="U187" s="12"/>
    </row>
    <row r="188">
      <c r="A188" s="5" t="s">
        <v>997</v>
      </c>
      <c r="B188" s="5" t="s">
        <v>20</v>
      </c>
      <c r="C188" s="6">
        <v>1.0</v>
      </c>
      <c r="D188" s="6">
        <v>1970.0</v>
      </c>
      <c r="E188" s="5" t="str">
        <f>IFERROR(__xludf.DUMMYFUNCTION("TEXTJOIN("", "",TRUE,ARRAYFORMULA(IF(COUNTIFS(capitanes!A:A,SPLIT(D188,"",""),capitanes!B:B,A188)&gt;0,1,0)))"),"0")</f>
        <v>0</v>
      </c>
      <c r="F188" s="5" t="str">
        <f>IFERROR(__xludf.DUMMYFUNCTION("JOIN("", "",ARRAYFORMULA(IFERROR(VLOOKUP(VALUE(TRIM(SPLIT(D188,"",""))), QUERY(goles!A:C,""select A, sum(C) where B='""&amp;A188&amp;""' group by A""),2,FALSE),0)))"),"0")</f>
        <v>0</v>
      </c>
      <c r="G188" s="5" t="s">
        <v>135</v>
      </c>
      <c r="H188" s="5" t="s">
        <v>136</v>
      </c>
      <c r="I188" s="7">
        <v>16841.0</v>
      </c>
      <c r="J188" s="8">
        <v>17016.0</v>
      </c>
      <c r="K188" s="5" t="s">
        <v>35</v>
      </c>
      <c r="L188" s="5" t="s">
        <v>35</v>
      </c>
      <c r="M188" s="5" t="s">
        <v>25</v>
      </c>
      <c r="N188" s="9" t="s">
        <v>36</v>
      </c>
      <c r="O188" s="9" t="s">
        <v>37</v>
      </c>
      <c r="P188" s="10">
        <v>-34.89453803</v>
      </c>
      <c r="Q188" s="10">
        <v>-56.15278107</v>
      </c>
      <c r="R188" s="5" t="s">
        <v>998</v>
      </c>
      <c r="S188" s="14" t="s">
        <v>999</v>
      </c>
      <c r="T188" s="12"/>
      <c r="U188" s="12"/>
    </row>
    <row r="189">
      <c r="A189" s="5" t="s">
        <v>1000</v>
      </c>
      <c r="B189" s="5" t="s">
        <v>31</v>
      </c>
      <c r="C189" s="6">
        <v>1.0</v>
      </c>
      <c r="D189" s="6">
        <v>1990.0</v>
      </c>
      <c r="E189" s="5" t="str">
        <f>IFERROR(__xludf.DUMMYFUNCTION("TEXTJOIN("", "",TRUE,ARRAYFORMULA(IF(COUNTIFS(capitanes!A:A,SPLIT(D189,"",""),capitanes!B:B,A189)&gt;0,1,0)))"),"0")</f>
        <v>0</v>
      </c>
      <c r="F189" s="5" t="str">
        <f>IFERROR(__xludf.DUMMYFUNCTION("JOIN("", "",ARRAYFORMULA(IFERROR(VLOOKUP(VALUE(TRIM(SPLIT(D189,"",""))), QUERY(goles!A:C,""select A, sum(C) where B='""&amp;A189&amp;""' group by A""),2,FALSE),0)))"),"1")</f>
        <v>1</v>
      </c>
      <c r="G189" s="5" t="s">
        <v>976</v>
      </c>
      <c r="H189" s="5" t="s">
        <v>227</v>
      </c>
      <c r="I189" s="7">
        <v>23920.0</v>
      </c>
      <c r="J189" s="6" t="s">
        <v>1001</v>
      </c>
      <c r="K189" s="5" t="s">
        <v>144</v>
      </c>
      <c r="L189" s="5" t="s">
        <v>144</v>
      </c>
      <c r="M189" s="5" t="s">
        <v>25</v>
      </c>
      <c r="N189" s="9" t="s">
        <v>554</v>
      </c>
      <c r="O189" s="9" t="s">
        <v>555</v>
      </c>
      <c r="P189" s="10">
        <v>-30.90835294</v>
      </c>
      <c r="Q189" s="10">
        <v>-55.54840554</v>
      </c>
      <c r="R189" s="14" t="s">
        <v>1002</v>
      </c>
      <c r="S189" s="14" t="s">
        <v>1003</v>
      </c>
      <c r="T189" s="12"/>
      <c r="U189" s="12"/>
    </row>
    <row r="190">
      <c r="A190" s="5" t="s">
        <v>1004</v>
      </c>
      <c r="B190" s="5" t="s">
        <v>20</v>
      </c>
      <c r="C190" s="6">
        <v>1.0</v>
      </c>
      <c r="D190" s="6">
        <v>1930.0</v>
      </c>
      <c r="E190" s="5" t="str">
        <f>IFERROR(__xludf.DUMMYFUNCTION("TEXTJOIN("", "",TRUE,ARRAYFORMULA(IF(COUNTIFS(capitanes!A:A,SPLIT(D190,"",""),capitanes!B:B,A190)&gt;0,1,0)))"),"0")</f>
        <v>0</v>
      </c>
      <c r="F190" s="5" t="str">
        <f>IFERROR(__xludf.DUMMYFUNCTION("JOIN("", "",ARRAYFORMULA(IFERROR(VLOOKUP(VALUE(TRIM(SPLIT(D190,"",""))), QUERY(goles!A:C,""select A, sum(C) where B='""&amp;A190&amp;""' group by A""),2,FALSE),0)))"),"0")</f>
        <v>0</v>
      </c>
      <c r="G190" s="5" t="s">
        <v>59</v>
      </c>
      <c r="H190" s="5" t="s">
        <v>25</v>
      </c>
      <c r="I190" s="7">
        <v>90.0</v>
      </c>
      <c r="J190" s="6" t="s">
        <v>1005</v>
      </c>
      <c r="K190" s="5" t="s">
        <v>35</v>
      </c>
      <c r="L190" s="5" t="s">
        <v>35</v>
      </c>
      <c r="M190" s="5" t="s">
        <v>25</v>
      </c>
      <c r="N190" s="9" t="s">
        <v>36</v>
      </c>
      <c r="O190" s="9" t="s">
        <v>37</v>
      </c>
      <c r="P190" s="10">
        <v>-34.89453803</v>
      </c>
      <c r="Q190" s="10">
        <v>-56.15278107</v>
      </c>
      <c r="R190" s="5" t="s">
        <v>1006</v>
      </c>
      <c r="S190" s="14" t="s">
        <v>1007</v>
      </c>
      <c r="T190" s="12"/>
      <c r="U190" s="12"/>
    </row>
    <row r="191">
      <c r="A191" s="5" t="s">
        <v>1008</v>
      </c>
      <c r="B191" s="5" t="s">
        <v>46</v>
      </c>
      <c r="C191" s="6">
        <v>2.0</v>
      </c>
      <c r="D191" s="5" t="s">
        <v>1009</v>
      </c>
      <c r="E191" s="5" t="str">
        <f>IFERROR(__xludf.DUMMYFUNCTION("TEXTJOIN("", "",TRUE,ARRAYFORMULA(IF(COUNTIFS(capitanes!A:A,SPLIT(D191,"",""),capitanes!B:B,A191)&gt;0,1,0)))"),"0, 0")</f>
        <v>0, 0</v>
      </c>
      <c r="F191" s="5" t="str">
        <f>IFERROR(__xludf.DUMMYFUNCTION("JOIN("", "",ARRAYFORMULA(IFERROR(VLOOKUP(VALUE(TRIM(SPLIT(D191,"",""))), QUERY(goles!A:C,""select A, sum(C) where B='""&amp;A191&amp;""' group by A""),2,FALSE),0)))"),"0, 0")</f>
        <v>0, 0</v>
      </c>
      <c r="G191" s="5" t="s">
        <v>1010</v>
      </c>
      <c r="H191" s="5" t="s">
        <v>214</v>
      </c>
      <c r="I191" s="7">
        <v>16632.0</v>
      </c>
      <c r="J191" s="6" t="s">
        <v>1011</v>
      </c>
      <c r="K191" s="5" t="s">
        <v>107</v>
      </c>
      <c r="L191" s="5" t="s">
        <v>108</v>
      </c>
      <c r="M191" s="5" t="s">
        <v>25</v>
      </c>
      <c r="N191" s="9" t="s">
        <v>109</v>
      </c>
      <c r="O191" s="9" t="s">
        <v>110</v>
      </c>
      <c r="P191" s="10">
        <v>-33.25788253</v>
      </c>
      <c r="Q191" s="10">
        <v>-58.02286996</v>
      </c>
      <c r="R191" s="5" t="s">
        <v>1012</v>
      </c>
      <c r="S191" s="14" t="s">
        <v>1013</v>
      </c>
      <c r="T191" s="12"/>
      <c r="U191" s="12"/>
    </row>
    <row r="192">
      <c r="A192" s="5" t="s">
        <v>1014</v>
      </c>
      <c r="B192" s="5" t="s">
        <v>31</v>
      </c>
      <c r="C192" s="6">
        <v>1.0</v>
      </c>
      <c r="D192" s="6">
        <v>2002.0</v>
      </c>
      <c r="E192" s="5" t="str">
        <f>IFERROR(__xludf.DUMMYFUNCTION("TEXTJOIN("", "",TRUE,ARRAYFORMULA(IF(COUNTIFS(capitanes!A:A,SPLIT(D192,"",""),capitanes!B:B,A192)&gt;0,1,0)))"),"0")</f>
        <v>0</v>
      </c>
      <c r="F192" s="5" t="str">
        <f>IFERROR(__xludf.DUMMYFUNCTION("JOIN("", "",ARRAYFORMULA(IFERROR(VLOOKUP(VALUE(TRIM(SPLIT(D192,"",""))), QUERY(goles!A:C,""select A, sum(C) where B='""&amp;A192&amp;""' group by A""),2,FALSE),0)))"),"0")</f>
        <v>0</v>
      </c>
      <c r="G192" s="5" t="s">
        <v>410</v>
      </c>
      <c r="H192" s="5" t="s">
        <v>22</v>
      </c>
      <c r="I192" s="7">
        <v>28256.0</v>
      </c>
      <c r="J192" s="8">
        <v>28434.0</v>
      </c>
      <c r="K192" s="5" t="s">
        <v>1015</v>
      </c>
      <c r="L192" s="5" t="s">
        <v>24</v>
      </c>
      <c r="M192" s="5" t="s">
        <v>25</v>
      </c>
      <c r="N192" s="9" t="s">
        <v>1016</v>
      </c>
      <c r="O192" s="9" t="s">
        <v>1017</v>
      </c>
      <c r="P192" s="10">
        <v>-34.7355298</v>
      </c>
      <c r="Q192" s="10">
        <v>-56.0348406</v>
      </c>
      <c r="R192" s="5" t="s">
        <v>1018</v>
      </c>
      <c r="S192" s="14" t="s">
        <v>1019</v>
      </c>
      <c r="T192" s="12"/>
      <c r="U192" s="12"/>
    </row>
    <row r="193">
      <c r="A193" s="5" t="s">
        <v>1020</v>
      </c>
      <c r="B193" s="5" t="s">
        <v>46</v>
      </c>
      <c r="C193" s="6">
        <v>1.0</v>
      </c>
      <c r="D193" s="6">
        <v>2002.0</v>
      </c>
      <c r="E193" s="5" t="str">
        <f>IFERROR(__xludf.DUMMYFUNCTION("TEXTJOIN("", "",TRUE,ARRAYFORMULA(IF(COUNTIFS(capitanes!A:A,SPLIT(D193,"",""),capitanes!B:B,A193)&gt;0,1,0)))"),"1")</f>
        <v>1</v>
      </c>
      <c r="F193" s="5" t="str">
        <f>IFERROR(__xludf.DUMMYFUNCTION("JOIN("", "",ARRAYFORMULA(IFERROR(VLOOKUP(VALUE(TRIM(SPLIT(D193,"",""))), QUERY(goles!A:C,""select A, sum(C) where B='""&amp;A193&amp;""' group by A""),2,FALSE),0)))"),"0")</f>
        <v>0</v>
      </c>
      <c r="G193" s="5" t="s">
        <v>375</v>
      </c>
      <c r="H193" s="5" t="s">
        <v>22</v>
      </c>
      <c r="I193" s="7">
        <v>26179.0</v>
      </c>
      <c r="J193" s="8">
        <v>26001.0</v>
      </c>
      <c r="K193" s="5" t="s">
        <v>35</v>
      </c>
      <c r="L193" s="5" t="s">
        <v>35</v>
      </c>
      <c r="M193" s="5" t="s">
        <v>25</v>
      </c>
      <c r="N193" s="9" t="s">
        <v>36</v>
      </c>
      <c r="O193" s="9" t="s">
        <v>37</v>
      </c>
      <c r="P193" s="10">
        <v>-34.89453803</v>
      </c>
      <c r="Q193" s="10">
        <v>-56.15278107</v>
      </c>
      <c r="R193" s="14" t="s">
        <v>1021</v>
      </c>
      <c r="S193" s="14" t="s">
        <v>1022</v>
      </c>
      <c r="T193" s="12"/>
      <c r="U193" s="12"/>
    </row>
    <row r="194">
      <c r="A194" s="5" t="s">
        <v>1023</v>
      </c>
      <c r="B194" s="5" t="s">
        <v>31</v>
      </c>
      <c r="C194" s="6">
        <v>1.0</v>
      </c>
      <c r="D194" s="6">
        <v>1962.0</v>
      </c>
      <c r="E194" s="5" t="str">
        <f>IFERROR(__xludf.DUMMYFUNCTION("TEXTJOIN("", "",TRUE,ARRAYFORMULA(IF(COUNTIFS(capitanes!A:A,SPLIT(D194,"",""),capitanes!B:B,A194)&gt;0,1,0)))"),"0")</f>
        <v>0</v>
      </c>
      <c r="F194" s="5" t="str">
        <f>IFERROR(__xludf.DUMMYFUNCTION("JOIN("", "",ARRAYFORMULA(IFERROR(VLOOKUP(VALUE(TRIM(SPLIT(D194,"",""))), QUERY(goles!A:C,""select A, sum(C) where B='""&amp;A194&amp;""' group by A""),2,FALSE),0)))"),"0")</f>
        <v>0</v>
      </c>
      <c r="G194" s="5" t="s">
        <v>1024</v>
      </c>
      <c r="H194" s="5" t="s">
        <v>25</v>
      </c>
      <c r="I194" s="7">
        <v>12291.0</v>
      </c>
      <c r="J194" s="6" t="s">
        <v>1025</v>
      </c>
      <c r="K194" s="5" t="s">
        <v>48</v>
      </c>
      <c r="L194" s="5" t="s">
        <v>48</v>
      </c>
      <c r="M194" s="5" t="s">
        <v>25</v>
      </c>
      <c r="N194" s="9" t="s">
        <v>49</v>
      </c>
      <c r="O194" s="9" t="s">
        <v>50</v>
      </c>
      <c r="P194" s="10">
        <v>-32.32100867</v>
      </c>
      <c r="Q194" s="10">
        <v>-58.08768999</v>
      </c>
      <c r="R194" s="14" t="s">
        <v>1026</v>
      </c>
      <c r="S194" s="24" t="s">
        <v>1027</v>
      </c>
      <c r="T194" s="12"/>
      <c r="U194" s="12"/>
    </row>
    <row r="195">
      <c r="A195" s="5" t="s">
        <v>1028</v>
      </c>
      <c r="B195" s="5" t="s">
        <v>20</v>
      </c>
      <c r="C195" s="6">
        <v>1.0</v>
      </c>
      <c r="D195" s="6">
        <v>1930.0</v>
      </c>
      <c r="E195" s="5" t="str">
        <f>IFERROR(__xludf.DUMMYFUNCTION("TEXTJOIN("", "",TRUE,ARRAYFORMULA(IF(COUNTIFS(capitanes!A:A,SPLIT(D195,"",""),capitanes!B:B,A195)&gt;0,1,0)))"),"0")</f>
        <v>0</v>
      </c>
      <c r="F195" s="5" t="str">
        <f>IFERROR(__xludf.DUMMYFUNCTION("JOIN("", "",ARRAYFORMULA(IFERROR(VLOOKUP(VALUE(TRIM(SPLIT(D195,"",""))), QUERY(goles!A:C,""select A, sum(C) where B='""&amp;A195&amp;""' group by A""),2,FALSE),0)))"),"0")</f>
        <v>0</v>
      </c>
      <c r="G195" s="5" t="s">
        <v>1029</v>
      </c>
      <c r="H195" s="5" t="s">
        <v>25</v>
      </c>
      <c r="I195" s="7">
        <v>1037.0</v>
      </c>
      <c r="J195" s="8">
        <v>773.0</v>
      </c>
      <c r="K195" s="5" t="s">
        <v>24</v>
      </c>
      <c r="L195" s="5" t="s">
        <v>24</v>
      </c>
      <c r="M195" s="5" t="s">
        <v>25</v>
      </c>
      <c r="N195" s="9" t="s">
        <v>273</v>
      </c>
      <c r="O195" s="9" t="s">
        <v>274</v>
      </c>
      <c r="P195" s="10">
        <v>-34.52414955</v>
      </c>
      <c r="Q195" s="10">
        <v>-56.27395404</v>
      </c>
      <c r="R195" s="14" t="s">
        <v>1030</v>
      </c>
      <c r="S195" s="14" t="s">
        <v>1031</v>
      </c>
      <c r="T195" s="12"/>
      <c r="U195" s="12"/>
    </row>
    <row r="196">
      <c r="A196" s="5" t="s">
        <v>1032</v>
      </c>
      <c r="B196" s="5" t="s">
        <v>31</v>
      </c>
      <c r="C196" s="6">
        <v>1.0</v>
      </c>
      <c r="D196" s="6">
        <v>1966.0</v>
      </c>
      <c r="E196" s="5" t="str">
        <f>IFERROR(__xludf.DUMMYFUNCTION("TEXTJOIN("", "",TRUE,ARRAYFORMULA(IF(COUNTIFS(capitanes!A:A,SPLIT(D196,"",""),capitanes!B:B,A196)&gt;0,1,0)))"),"0")</f>
        <v>0</v>
      </c>
      <c r="F196" s="5" t="str">
        <f>IFERROR(__xludf.DUMMYFUNCTION("JOIN("", "",ARRAYFORMULA(IFERROR(VLOOKUP(VALUE(TRIM(SPLIT(D196,"",""))), QUERY(goles!A:C,""select A, sum(C) where B='""&amp;A196&amp;""' group by A""),2,FALSE),0)))"),"1")</f>
        <v>1</v>
      </c>
      <c r="G196" s="5" t="s">
        <v>54</v>
      </c>
      <c r="H196" s="5" t="s">
        <v>25</v>
      </c>
      <c r="I196" s="7">
        <v>15678.0</v>
      </c>
      <c r="J196" s="8">
        <v>15412.0</v>
      </c>
      <c r="K196" s="5" t="s">
        <v>187</v>
      </c>
      <c r="L196" s="5" t="s">
        <v>187</v>
      </c>
      <c r="M196" s="5" t="s">
        <v>25</v>
      </c>
      <c r="N196" s="9" t="s">
        <v>188</v>
      </c>
      <c r="O196" s="9" t="s">
        <v>189</v>
      </c>
      <c r="P196" s="10">
        <v>-31.38663817</v>
      </c>
      <c r="Q196" s="10">
        <v>-57.93598627</v>
      </c>
      <c r="R196" s="14" t="s">
        <v>1033</v>
      </c>
      <c r="S196" s="14" t="s">
        <v>1034</v>
      </c>
      <c r="T196" s="12"/>
      <c r="U196" s="12"/>
    </row>
    <row r="197">
      <c r="A197" s="5" t="s">
        <v>1032</v>
      </c>
      <c r="B197" s="5" t="s">
        <v>31</v>
      </c>
      <c r="C197" s="6">
        <v>3.0</v>
      </c>
      <c r="D197" s="5" t="s">
        <v>793</v>
      </c>
      <c r="E197" s="5" t="str">
        <f>IFERROR(__xludf.DUMMYFUNCTION("TEXTJOIN("", "",TRUE,ARRAYFORMULA(IF(COUNTIFS(capitanes!A:A,SPLIT(D197,"",""),capitanes!B:B,A197)&gt;0,1,0)))"),"0, 1, 0")</f>
        <v>0, 1, 0</v>
      </c>
      <c r="F197" s="5" t="str">
        <f>IFERROR(__xludf.DUMMYFUNCTION("JOIN("", "",ARRAYFORMULA(IFERROR(VLOOKUP(VALUE(TRIM(SPLIT(D197,"",""))), QUERY(goles!A:C,""select A, sum(C) where B='""&amp;A197&amp;""' group by A""),2,FALSE),0)))"),"0, 0, 0")</f>
        <v>0, 0, 0</v>
      </c>
      <c r="G197" s="5" t="s">
        <v>1010</v>
      </c>
      <c r="H197" s="5" t="s">
        <v>868</v>
      </c>
      <c r="I197" s="7">
        <v>15678.0</v>
      </c>
      <c r="J197" s="8">
        <v>15412.0</v>
      </c>
      <c r="K197" s="5" t="s">
        <v>187</v>
      </c>
      <c r="L197" s="5" t="s">
        <v>187</v>
      </c>
      <c r="M197" s="5" t="s">
        <v>25</v>
      </c>
      <c r="N197" s="9" t="s">
        <v>188</v>
      </c>
      <c r="O197" s="9" t="s">
        <v>189</v>
      </c>
      <c r="P197" s="10">
        <v>-31.38663817</v>
      </c>
      <c r="Q197" s="10">
        <v>-57.93598627</v>
      </c>
      <c r="R197" s="14" t="s">
        <v>1035</v>
      </c>
      <c r="S197" s="14" t="s">
        <v>1034</v>
      </c>
      <c r="T197" s="12"/>
      <c r="U197" s="12"/>
    </row>
    <row r="198">
      <c r="A198" s="5" t="s">
        <v>1036</v>
      </c>
      <c r="B198" s="5" t="s">
        <v>20</v>
      </c>
      <c r="C198" s="6">
        <v>1.0</v>
      </c>
      <c r="D198" s="6">
        <v>1954.0</v>
      </c>
      <c r="E198" s="5" t="str">
        <f>IFERROR(__xludf.DUMMYFUNCTION("TEXTJOIN("", "",TRUE,ARRAYFORMULA(IF(COUNTIFS(capitanes!A:A,SPLIT(D198,"",""),capitanes!B:B,A198)&gt;0,1,0)))"),"0")</f>
        <v>0</v>
      </c>
      <c r="F198" s="5" t="str">
        <f>IFERROR(__xludf.DUMMYFUNCTION("JOIN("", "",ARRAYFORMULA(IFERROR(VLOOKUP(VALUE(TRIM(SPLIT(D198,"",""))), QUERY(goles!A:C,""select A, sum(C) where B='""&amp;A198&amp;""' group by A""),2,FALSE),0)))"),"0")</f>
        <v>0</v>
      </c>
      <c r="G198" s="5" t="s">
        <v>59</v>
      </c>
      <c r="H198" s="5" t="s">
        <v>25</v>
      </c>
      <c r="I198" s="7">
        <v>10890.0</v>
      </c>
      <c r="J198" s="6" t="s">
        <v>1037</v>
      </c>
      <c r="K198" s="5" t="s">
        <v>35</v>
      </c>
      <c r="L198" s="5" t="s">
        <v>35</v>
      </c>
      <c r="M198" s="5" t="s">
        <v>25</v>
      </c>
      <c r="N198" s="9" t="s">
        <v>36</v>
      </c>
      <c r="O198" s="9" t="s">
        <v>37</v>
      </c>
      <c r="P198" s="10">
        <v>-34.89453803</v>
      </c>
      <c r="Q198" s="10">
        <v>-56.15278107</v>
      </c>
      <c r="R198" s="14" t="s">
        <v>1038</v>
      </c>
      <c r="S198" s="24" t="s">
        <v>1039</v>
      </c>
      <c r="T198" s="12"/>
      <c r="U198" s="12"/>
    </row>
    <row r="199">
      <c r="A199" s="5" t="s">
        <v>1040</v>
      </c>
      <c r="B199" s="5" t="s">
        <v>46</v>
      </c>
      <c r="C199" s="6">
        <v>1.0</v>
      </c>
      <c r="D199" s="6">
        <v>1974.0</v>
      </c>
      <c r="E199" s="5" t="str">
        <f>IFERROR(__xludf.DUMMYFUNCTION("TEXTJOIN("", "",TRUE,ARRAYFORMULA(IF(COUNTIFS(capitanes!A:A,SPLIT(D199,"",""),capitanes!B:B,A199)&gt;0,1,0)))"),"0")</f>
        <v>0</v>
      </c>
      <c r="F199" s="5" t="str">
        <f>IFERROR(__xludf.DUMMYFUNCTION("JOIN("", "",ARRAYFORMULA(IFERROR(VLOOKUP(VALUE(TRIM(SPLIT(D199,"",""))), QUERY(goles!A:C,""select A, sum(C) where B='""&amp;A199&amp;""' group by A""),2,FALSE),0)))"),"1")</f>
        <v>1</v>
      </c>
      <c r="G199" s="5" t="s">
        <v>313</v>
      </c>
      <c r="H199" s="5" t="s">
        <v>136</v>
      </c>
      <c r="I199" s="7">
        <v>15895.0</v>
      </c>
      <c r="J199" s="8">
        <v>15925.0</v>
      </c>
      <c r="K199" s="5" t="s">
        <v>35</v>
      </c>
      <c r="L199" s="5" t="s">
        <v>35</v>
      </c>
      <c r="M199" s="5" t="s">
        <v>25</v>
      </c>
      <c r="N199" s="9" t="s">
        <v>36</v>
      </c>
      <c r="O199" s="9" t="s">
        <v>37</v>
      </c>
      <c r="P199" s="10">
        <v>-34.89453803</v>
      </c>
      <c r="Q199" s="10">
        <v>-56.15278107</v>
      </c>
      <c r="R199" s="14" t="s">
        <v>1041</v>
      </c>
      <c r="S199" s="14" t="s">
        <v>1042</v>
      </c>
      <c r="T199" s="12"/>
      <c r="U199" s="12"/>
    </row>
    <row r="200">
      <c r="A200" s="5" t="s">
        <v>1043</v>
      </c>
      <c r="B200" s="5" t="s">
        <v>20</v>
      </c>
      <c r="C200" s="6">
        <v>1.0</v>
      </c>
      <c r="D200" s="6">
        <v>2002.0</v>
      </c>
      <c r="E200" s="5" t="str">
        <f>IFERROR(__xludf.DUMMYFUNCTION("TEXTJOIN("", "",TRUE,ARRAYFORMULA(IF(COUNTIFS(capitanes!A:A,SPLIT(D200,"",""),capitanes!B:B,A200)&gt;0,1,0)))"),"0")</f>
        <v>0</v>
      </c>
      <c r="F200" s="5" t="str">
        <f>IFERROR(__xludf.DUMMYFUNCTION("JOIN("", "",ARRAYFORMULA(IFERROR(VLOOKUP(VALUE(TRIM(SPLIT(D200,"",""))), QUERY(goles!A:C,""select A, sum(C) where B='""&amp;A200&amp;""' group by A""),2,FALSE),0)))"),"1")</f>
        <v>1</v>
      </c>
      <c r="G200" s="5" t="s">
        <v>59</v>
      </c>
      <c r="H200" s="5" t="s">
        <v>25</v>
      </c>
      <c r="I200" s="7">
        <v>27446.0</v>
      </c>
      <c r="J200" s="6" t="s">
        <v>1044</v>
      </c>
      <c r="K200" s="5" t="s">
        <v>588</v>
      </c>
      <c r="L200" s="5" t="s">
        <v>24</v>
      </c>
      <c r="M200" s="5" t="s">
        <v>25</v>
      </c>
      <c r="N200" s="9" t="s">
        <v>589</v>
      </c>
      <c r="O200" s="9" t="s">
        <v>590</v>
      </c>
      <c r="P200" s="10">
        <v>-34.72740899</v>
      </c>
      <c r="Q200" s="10">
        <v>-56.21650214</v>
      </c>
      <c r="R200" s="14" t="s">
        <v>1045</v>
      </c>
      <c r="S200" s="24" t="s">
        <v>1046</v>
      </c>
      <c r="T200" s="12"/>
      <c r="U200" s="12"/>
    </row>
    <row r="201">
      <c r="A201" s="5" t="s">
        <v>1047</v>
      </c>
      <c r="B201" s="5" t="s">
        <v>31</v>
      </c>
      <c r="C201" s="6">
        <v>1.0</v>
      </c>
      <c r="D201" s="6">
        <v>1954.0</v>
      </c>
      <c r="E201" s="5" t="str">
        <f>IFERROR(__xludf.DUMMYFUNCTION("TEXTJOIN("", "",TRUE,ARRAYFORMULA(IF(COUNTIFS(capitanes!A:A,SPLIT(D201,"",""),capitanes!B:B,A201)&gt;0,1,0)))"),"0")</f>
        <v>0</v>
      </c>
      <c r="F201" s="5" t="str">
        <f>IFERROR(__xludf.DUMMYFUNCTION("JOIN("", "",ARRAYFORMULA(IFERROR(VLOOKUP(VALUE(TRIM(SPLIT(D201,"",""))), QUERY(goles!A:C,""select A, sum(C) where B='""&amp;A201&amp;""' group by A""),2,FALSE),0)))"),"0")</f>
        <v>0</v>
      </c>
      <c r="G201" s="5" t="s">
        <v>59</v>
      </c>
      <c r="H201" s="5" t="s">
        <v>25</v>
      </c>
      <c r="I201" s="7">
        <v>12254.0</v>
      </c>
      <c r="J201" s="6" t="s">
        <v>1048</v>
      </c>
      <c r="K201" s="5" t="s">
        <v>35</v>
      </c>
      <c r="L201" s="5" t="s">
        <v>35</v>
      </c>
      <c r="M201" s="5" t="s">
        <v>25</v>
      </c>
      <c r="N201" s="9" t="s">
        <v>36</v>
      </c>
      <c r="O201" s="9" t="s">
        <v>37</v>
      </c>
      <c r="P201" s="10">
        <v>-34.89453803</v>
      </c>
      <c r="Q201" s="10">
        <v>-56.15278107</v>
      </c>
      <c r="R201" s="11" t="s">
        <v>1049</v>
      </c>
      <c r="S201" s="11" t="s">
        <v>1050</v>
      </c>
      <c r="T201" s="12"/>
      <c r="U201" s="12"/>
    </row>
    <row r="202">
      <c r="A202" s="5" t="s">
        <v>1051</v>
      </c>
      <c r="B202" s="5" t="s">
        <v>46</v>
      </c>
      <c r="C202" s="6">
        <v>1.0</v>
      </c>
      <c r="D202" s="6">
        <v>1970.0</v>
      </c>
      <c r="E202" s="5" t="str">
        <f>IFERROR(__xludf.DUMMYFUNCTION("TEXTJOIN("", "",TRUE,ARRAYFORMULA(IF(COUNTIFS(capitanes!A:A,SPLIT(D202,"",""),capitanes!B:B,A202)&gt;0,1,0)))"),"0")</f>
        <v>0</v>
      </c>
      <c r="F202" s="5" t="str">
        <f>IFERROR(__xludf.DUMMYFUNCTION("JOIN("", "",ARRAYFORMULA(IFERROR(VLOOKUP(VALUE(TRIM(SPLIT(D202,"",""))), QUERY(goles!A:C,""select A, sum(C) where B='""&amp;A202&amp;""' group by A""),2,FALSE),0)))"),"0")</f>
        <v>0</v>
      </c>
      <c r="G202" s="5" t="s">
        <v>54</v>
      </c>
      <c r="H202" s="5" t="s">
        <v>25</v>
      </c>
      <c r="I202" s="7">
        <v>14742.0</v>
      </c>
      <c r="J202" s="8">
        <v>14920.0</v>
      </c>
      <c r="K202" s="5" t="s">
        <v>107</v>
      </c>
      <c r="L202" s="5" t="s">
        <v>108</v>
      </c>
      <c r="M202" s="5" t="s">
        <v>25</v>
      </c>
      <c r="N202" s="9" t="s">
        <v>109</v>
      </c>
      <c r="O202" s="9" t="s">
        <v>110</v>
      </c>
      <c r="P202" s="10">
        <v>-33.25788253</v>
      </c>
      <c r="Q202" s="10">
        <v>-58.02286996</v>
      </c>
      <c r="R202" s="14" t="s">
        <v>1052</v>
      </c>
      <c r="S202" s="14" t="s">
        <v>1053</v>
      </c>
      <c r="T202" s="12"/>
      <c r="U202" s="12"/>
    </row>
    <row r="203">
      <c r="A203" s="5" t="s">
        <v>1054</v>
      </c>
      <c r="B203" s="5" t="s">
        <v>117</v>
      </c>
      <c r="C203" s="6">
        <v>2.0</v>
      </c>
      <c r="D203" s="5" t="s">
        <v>284</v>
      </c>
      <c r="E203" s="5" t="str">
        <f>IFERROR(__xludf.DUMMYFUNCTION("TEXTJOIN("", "",TRUE,ARRAYFORMULA(IF(COUNTIFS(capitanes!A:A,SPLIT(D203,"",""),capitanes!B:B,A203)&gt;0,1,0)))"),"0, 0")</f>
        <v>0, 0</v>
      </c>
      <c r="F203" s="5" t="str">
        <f>IFERROR(__xludf.DUMMYFUNCTION("JOIN("", "",ARRAYFORMULA(IFERROR(VLOOKUP(VALUE(TRIM(SPLIT(D203,"",""))), QUERY(goles!A:C,""select A, sum(C) where B='""&amp;A203&amp;""' group by A""),2,FALSE),0)))"),"0, 0")</f>
        <v>0, 0</v>
      </c>
      <c r="G203" s="5" t="s">
        <v>59</v>
      </c>
      <c r="H203" s="5" t="s">
        <v>25</v>
      </c>
      <c r="I203" s="7">
        <v>12949.0</v>
      </c>
      <c r="J203" s="6" t="s">
        <v>1055</v>
      </c>
      <c r="K203" s="5" t="s">
        <v>1056</v>
      </c>
      <c r="L203" s="5" t="s">
        <v>203</v>
      </c>
      <c r="M203" s="5" t="s">
        <v>25</v>
      </c>
      <c r="N203" s="9" t="s">
        <v>1057</v>
      </c>
      <c r="O203" s="9" t="s">
        <v>1058</v>
      </c>
      <c r="P203" s="10">
        <v>-34.79209665</v>
      </c>
      <c r="Q203" s="10">
        <v>-54.92039854</v>
      </c>
      <c r="R203" s="14" t="s">
        <v>1059</v>
      </c>
      <c r="S203" s="14" t="s">
        <v>1060</v>
      </c>
      <c r="T203" s="12"/>
      <c r="U203" s="12"/>
    </row>
    <row r="204">
      <c r="A204" s="5" t="s">
        <v>1061</v>
      </c>
      <c r="B204" s="5" t="s">
        <v>31</v>
      </c>
      <c r="C204" s="6">
        <v>1.0</v>
      </c>
      <c r="D204" s="6">
        <v>1950.0</v>
      </c>
      <c r="E204" s="5" t="str">
        <f>IFERROR(__xludf.DUMMYFUNCTION("TEXTJOIN("", "",TRUE,ARRAYFORMULA(IF(COUNTIFS(capitanes!A:A,SPLIT(D204,"",""),capitanes!B:B,A204)&gt;0,1,0)))"),"0")</f>
        <v>0</v>
      </c>
      <c r="F204" s="5" t="str">
        <f>IFERROR(__xludf.DUMMYFUNCTION("JOIN("", "",ARRAYFORMULA(IFERROR(VLOOKUP(VALUE(TRIM(SPLIT(D204,"",""))), QUERY(goles!A:C,""select A, sum(C) where B='""&amp;A204&amp;""' group by A""),2,FALSE),0)))"),"0")</f>
        <v>0</v>
      </c>
      <c r="G204" s="5" t="s">
        <v>59</v>
      </c>
      <c r="H204" s="5" t="s">
        <v>25</v>
      </c>
      <c r="I204" s="7">
        <v>9813.0</v>
      </c>
      <c r="J204" s="8">
        <v>9842.0</v>
      </c>
      <c r="K204" s="5" t="s">
        <v>403</v>
      </c>
      <c r="L204" s="5" t="s">
        <v>404</v>
      </c>
      <c r="M204" s="5" t="s">
        <v>25</v>
      </c>
      <c r="N204" s="9" t="s">
        <v>405</v>
      </c>
      <c r="O204" s="9" t="s">
        <v>406</v>
      </c>
      <c r="P204" s="10">
        <v>-33.1193385</v>
      </c>
      <c r="Q204" s="10">
        <v>-58.31770138</v>
      </c>
      <c r="R204" s="14" t="s">
        <v>1062</v>
      </c>
      <c r="S204" s="24" t="s">
        <v>1063</v>
      </c>
      <c r="T204" s="12"/>
      <c r="U204" s="12"/>
    </row>
    <row r="205">
      <c r="A205" s="5" t="s">
        <v>1064</v>
      </c>
      <c r="B205" s="5" t="s">
        <v>117</v>
      </c>
      <c r="C205" s="6">
        <v>1.0</v>
      </c>
      <c r="D205" s="6">
        <v>1986.0</v>
      </c>
      <c r="E205" s="5" t="str">
        <f>IFERROR(__xludf.DUMMYFUNCTION("TEXTJOIN("", "",TRUE,ARRAYFORMULA(IF(COUNTIFS(capitanes!A:A,SPLIT(D205,"",""),capitanes!B:B,A205)&gt;0,1,0)))"),"0")</f>
        <v>0</v>
      </c>
      <c r="F205" s="5" t="str">
        <f>IFERROR(__xludf.DUMMYFUNCTION("JOIN("", "",ARRAYFORMULA(IFERROR(VLOOKUP(VALUE(TRIM(SPLIT(D205,"",""))), QUERY(goles!A:C,""select A, sum(C) where B='""&amp;A205&amp;""' group by A""),2,FALSE),0)))"),"0")</f>
        <v>0</v>
      </c>
      <c r="G205" s="5" t="s">
        <v>1065</v>
      </c>
      <c r="H205" s="5" t="s">
        <v>214</v>
      </c>
      <c r="I205" s="7">
        <v>20474.0</v>
      </c>
      <c r="J205" s="6" t="s">
        <v>1066</v>
      </c>
      <c r="K205" s="5" t="s">
        <v>35</v>
      </c>
      <c r="L205" s="5" t="s">
        <v>35</v>
      </c>
      <c r="M205" s="5" t="s">
        <v>25</v>
      </c>
      <c r="N205" s="9" t="s">
        <v>36</v>
      </c>
      <c r="O205" s="9" t="s">
        <v>37</v>
      </c>
      <c r="P205" s="10">
        <v>-34.89453803</v>
      </c>
      <c r="Q205" s="10">
        <v>-56.15278107</v>
      </c>
      <c r="R205" s="5" t="s">
        <v>1067</v>
      </c>
      <c r="S205" s="14" t="s">
        <v>1068</v>
      </c>
      <c r="T205" s="12"/>
      <c r="U205" s="12"/>
    </row>
    <row r="206">
      <c r="A206" s="5" t="s">
        <v>1069</v>
      </c>
      <c r="B206" s="5" t="s">
        <v>31</v>
      </c>
      <c r="C206" s="6">
        <v>1.0</v>
      </c>
      <c r="D206" s="6">
        <v>1970.0</v>
      </c>
      <c r="E206" s="5" t="str">
        <f>IFERROR(__xludf.DUMMYFUNCTION("TEXTJOIN("", "",TRUE,ARRAYFORMULA(IF(COUNTIFS(capitanes!A:A,SPLIT(D206,"",""),capitanes!B:B,A206)&gt;0,1,0)))"),"0")</f>
        <v>0</v>
      </c>
      <c r="F206" s="5" t="str">
        <f>IFERROR(__xludf.DUMMYFUNCTION("JOIN("", "",ARRAYFORMULA(IFERROR(VLOOKUP(VALUE(TRIM(SPLIT(D206,"",""))), QUERY(goles!A:C,""select A, sum(C) where B='""&amp;A206&amp;""' group by A""),2,FALSE),0)))"),"0")</f>
        <v>0</v>
      </c>
      <c r="G206" s="5" t="s">
        <v>54</v>
      </c>
      <c r="H206" s="5" t="s">
        <v>25</v>
      </c>
      <c r="I206" s="7">
        <v>17810.0</v>
      </c>
      <c r="J206" s="8">
        <v>17724.0</v>
      </c>
      <c r="K206" s="5" t="s">
        <v>35</v>
      </c>
      <c r="L206" s="5" t="s">
        <v>35</v>
      </c>
      <c r="M206" s="5" t="s">
        <v>25</v>
      </c>
      <c r="N206" s="9" t="s">
        <v>36</v>
      </c>
      <c r="O206" s="9" t="s">
        <v>37</v>
      </c>
      <c r="P206" s="10">
        <v>-34.89453803</v>
      </c>
      <c r="Q206" s="10">
        <v>-56.15278107</v>
      </c>
      <c r="R206" s="11" t="s">
        <v>1070</v>
      </c>
      <c r="S206" s="11" t="s">
        <v>1071</v>
      </c>
      <c r="T206" s="12"/>
      <c r="U206" s="12"/>
    </row>
    <row r="207">
      <c r="A207" s="26" t="s">
        <v>1072</v>
      </c>
      <c r="B207" s="16" t="s">
        <v>20</v>
      </c>
      <c r="C207" s="16">
        <v>1.0</v>
      </c>
      <c r="D207" s="16">
        <v>2026.0</v>
      </c>
      <c r="E207" s="5" t="str">
        <f>IFERROR(__xludf.DUMMYFUNCTION("TEXTJOIN("", "",TRUE,ARRAYFORMULA(IF(COUNTIFS(capitanes!A:A,SPLIT(D207,"",""),capitanes!B:B,A207)&gt;0,1,0)))"),"0")</f>
        <v>0</v>
      </c>
      <c r="F207" s="5" t="str">
        <f>IFERROR(__xludf.DUMMYFUNCTION("JOIN("", "",ARRAYFORMULA(IFERROR(VLOOKUP(VALUE(TRIM(SPLIT(D207,"",""))), QUERY(goles!A:C,""select A, sum(C) where B='""&amp;A207&amp;""' group by A""),2,FALSE),0)))"),"0")</f>
        <v>0</v>
      </c>
      <c r="G207" s="16" t="s">
        <v>1073</v>
      </c>
      <c r="H207" s="16" t="s">
        <v>141</v>
      </c>
      <c r="I207" s="17">
        <v>34608.0</v>
      </c>
      <c r="J207" s="27">
        <v>34344.0</v>
      </c>
      <c r="K207" s="5" t="s">
        <v>35</v>
      </c>
      <c r="L207" s="5" t="s">
        <v>35</v>
      </c>
      <c r="M207" s="5" t="s">
        <v>25</v>
      </c>
      <c r="N207" s="9" t="s">
        <v>36</v>
      </c>
      <c r="O207" s="9" t="s">
        <v>37</v>
      </c>
      <c r="P207" s="10">
        <v>-34.89453803</v>
      </c>
      <c r="Q207" s="10">
        <v>-56.15278107</v>
      </c>
      <c r="R207" s="19" t="s">
        <v>1074</v>
      </c>
      <c r="S207" s="19" t="s">
        <v>1075</v>
      </c>
      <c r="T207" s="12"/>
      <c r="U207" s="12"/>
    </row>
    <row r="208">
      <c r="A208" s="5" t="s">
        <v>1076</v>
      </c>
      <c r="B208" s="5" t="s">
        <v>31</v>
      </c>
      <c r="C208" s="6">
        <v>3.0</v>
      </c>
      <c r="D208" s="5" t="s">
        <v>468</v>
      </c>
      <c r="E208" s="5" t="str">
        <f>IFERROR(__xludf.DUMMYFUNCTION("TEXTJOIN("", "",TRUE,ARRAYFORMULA(IF(COUNTIFS(capitanes!A:A,SPLIT(D208,"",""),capitanes!B:B,A208)&gt;0,1,0)))"),"0, 0, 0")</f>
        <v>0, 0, 0</v>
      </c>
      <c r="F208" s="5" t="str">
        <f>IFERROR(__xludf.DUMMYFUNCTION("JOIN("", "",ARRAYFORMULA(IFERROR(VLOOKUP(VALUE(TRIM(SPLIT(D208,"",""))), QUERY(goles!A:C,""select A, sum(C) where B='""&amp;A208&amp;""' group by A""),2,FALSE),0)))"),"0, 0, 0")</f>
        <v>0, 0, 0</v>
      </c>
      <c r="G208" s="5" t="s">
        <v>1077</v>
      </c>
      <c r="H208" s="5" t="s">
        <v>1078</v>
      </c>
      <c r="I208" s="7">
        <v>35606.0</v>
      </c>
      <c r="J208" s="6" t="s">
        <v>1079</v>
      </c>
      <c r="K208" s="5" t="s">
        <v>547</v>
      </c>
      <c r="L208" s="5" t="s">
        <v>74</v>
      </c>
      <c r="M208" s="5" t="s">
        <v>25</v>
      </c>
      <c r="N208" s="9" t="s">
        <v>548</v>
      </c>
      <c r="O208" s="9" t="s">
        <v>549</v>
      </c>
      <c r="P208" s="10">
        <v>-34.28861599</v>
      </c>
      <c r="Q208" s="10">
        <v>-57.23545289</v>
      </c>
      <c r="R208" s="14" t="s">
        <v>1080</v>
      </c>
      <c r="S208" s="14" t="s">
        <v>1081</v>
      </c>
      <c r="T208" s="12"/>
      <c r="U208" s="12"/>
    </row>
    <row r="209">
      <c r="A209" s="5" t="s">
        <v>1082</v>
      </c>
      <c r="B209" s="5" t="s">
        <v>117</v>
      </c>
      <c r="C209" s="6">
        <v>1.0</v>
      </c>
      <c r="D209" s="6">
        <v>2014.0</v>
      </c>
      <c r="E209" s="5" t="str">
        <f>IFERROR(__xludf.DUMMYFUNCTION("TEXTJOIN("", "",TRUE,ARRAYFORMULA(IF(COUNTIFS(capitanes!A:A,SPLIT(D209,"",""),capitanes!B:B,A209)&gt;0,1,0)))"),"0")</f>
        <v>0</v>
      </c>
      <c r="F209" s="5" t="str">
        <f>IFERROR(__xludf.DUMMYFUNCTION("JOIN("", "",ARRAYFORMULA(IFERROR(VLOOKUP(VALUE(TRIM(SPLIT(D209,"",""))), QUERY(goles!A:C,""select A, sum(C) where B='""&amp;A209&amp;""' group by A""),2,FALSE),0)))"),"0")</f>
        <v>0</v>
      </c>
      <c r="G209" s="5" t="s">
        <v>1083</v>
      </c>
      <c r="H209" s="5" t="s">
        <v>1084</v>
      </c>
      <c r="I209" s="7">
        <v>29973.0</v>
      </c>
      <c r="J209" s="6" t="s">
        <v>1085</v>
      </c>
      <c r="K209" s="5" t="s">
        <v>35</v>
      </c>
      <c r="L209" s="5" t="s">
        <v>35</v>
      </c>
      <c r="M209" s="5" t="s">
        <v>25</v>
      </c>
      <c r="N209" s="9" t="s">
        <v>36</v>
      </c>
      <c r="O209" s="9" t="s">
        <v>37</v>
      </c>
      <c r="P209" s="10">
        <v>-34.89453803</v>
      </c>
      <c r="Q209" s="10">
        <v>-56.15278107</v>
      </c>
      <c r="R209" s="5" t="s">
        <v>1086</v>
      </c>
      <c r="S209" s="14" t="s">
        <v>1087</v>
      </c>
      <c r="T209" s="12"/>
      <c r="U209" s="12"/>
    </row>
    <row r="210">
      <c r="A210" s="28" t="s">
        <v>1088</v>
      </c>
      <c r="B210" s="16" t="s">
        <v>31</v>
      </c>
      <c r="C210" s="16">
        <v>1.0</v>
      </c>
      <c r="D210" s="16">
        <v>2026.0</v>
      </c>
      <c r="E210" s="5" t="str">
        <f>IFERROR(__xludf.DUMMYFUNCTION("TEXTJOIN("", "",TRUE,ARRAYFORMULA(IF(COUNTIFS(capitanes!A:A,SPLIT(D210,"",""),capitanes!B:B,A210)&gt;0,1,0)))"),"0")</f>
        <v>0</v>
      </c>
      <c r="F210" s="5" t="str">
        <f>IFERROR(__xludf.DUMMYFUNCTION("JOIN("", "",ARRAYFORMULA(IFERROR(VLOOKUP(VALUE(TRIM(SPLIT(D210,"",""))), QUERY(goles!A:C,""select A, sum(C) where B='""&amp;A210&amp;""' group by A""),2,FALSE),0)))"),"0")</f>
        <v>0</v>
      </c>
      <c r="G210" s="16" t="s">
        <v>1089</v>
      </c>
      <c r="H210" s="16" t="s">
        <v>908</v>
      </c>
      <c r="I210" s="17">
        <v>36384.0</v>
      </c>
      <c r="J210" s="27">
        <v>36502.0</v>
      </c>
      <c r="K210" s="16" t="s">
        <v>1090</v>
      </c>
      <c r="L210" s="16"/>
      <c r="M210" s="16" t="s">
        <v>227</v>
      </c>
      <c r="N210" s="18" t="s">
        <v>1091</v>
      </c>
      <c r="O210" s="18" t="s">
        <v>1092</v>
      </c>
      <c r="P210" s="21"/>
      <c r="Q210" s="21"/>
      <c r="R210" s="19" t="s">
        <v>1093</v>
      </c>
      <c r="S210" s="19" t="s">
        <v>1094</v>
      </c>
      <c r="T210" s="12"/>
      <c r="U210" s="12"/>
    </row>
    <row r="211">
      <c r="A211" s="5" t="s">
        <v>1095</v>
      </c>
      <c r="B211" s="5" t="s">
        <v>46</v>
      </c>
      <c r="C211" s="6">
        <v>2.0</v>
      </c>
      <c r="D211" s="6" t="s">
        <v>32</v>
      </c>
      <c r="E211" s="5" t="str">
        <f>IFERROR(__xludf.DUMMYFUNCTION("TEXTJOIN("", "",TRUE,ARRAYFORMULA(IF(COUNTIFS(capitanes!A:A,SPLIT(D211,"",""),capitanes!B:B,A211)&gt;0,1,0)))"),"0, 0")</f>
        <v>0, 0</v>
      </c>
      <c r="F211" s="5" t="str">
        <f>IFERROR(__xludf.DUMMYFUNCTION("JOIN("", "",ARRAYFORMULA(IFERROR(VLOOKUP(VALUE(TRIM(SPLIT(D211,"",""))), QUERY(goles!A:C,""select A, sum(C) where B='""&amp;A211&amp;""' group by A""),2,FALSE),0)))"),"0, 0")</f>
        <v>0, 0</v>
      </c>
      <c r="G211" s="5" t="s">
        <v>1096</v>
      </c>
      <c r="H211" s="5" t="s">
        <v>179</v>
      </c>
      <c r="I211" s="7">
        <v>36226.0</v>
      </c>
      <c r="J211" s="8">
        <v>36344.0</v>
      </c>
      <c r="K211" s="5" t="s">
        <v>144</v>
      </c>
      <c r="L211" s="5" t="s">
        <v>144</v>
      </c>
      <c r="M211" s="5" t="s">
        <v>25</v>
      </c>
      <c r="N211" s="9" t="s">
        <v>554</v>
      </c>
      <c r="O211" s="9" t="s">
        <v>555</v>
      </c>
      <c r="P211" s="10">
        <v>-30.90835294</v>
      </c>
      <c r="Q211" s="10">
        <v>-55.54840554</v>
      </c>
      <c r="R211" s="5" t="s">
        <v>1097</v>
      </c>
      <c r="S211" s="14" t="s">
        <v>1098</v>
      </c>
      <c r="T211" s="12"/>
      <c r="U211" s="12"/>
    </row>
    <row r="212">
      <c r="A212" s="5" t="s">
        <v>1099</v>
      </c>
      <c r="B212" s="5" t="s">
        <v>31</v>
      </c>
      <c r="C212" s="6">
        <v>1.0</v>
      </c>
      <c r="D212" s="6">
        <v>1962.0</v>
      </c>
      <c r="E212" s="5" t="str">
        <f>IFERROR(__xludf.DUMMYFUNCTION("TEXTJOIN("", "",TRUE,ARRAYFORMULA(IF(COUNTIFS(capitanes!A:A,SPLIT(D212,"",""),capitanes!B:B,A212)&gt;0,1,0)))"),"0")</f>
        <v>0</v>
      </c>
      <c r="F212" s="5" t="str">
        <f>IFERROR(__xludf.DUMMYFUNCTION("JOIN("", "",ARRAYFORMULA(IFERROR(VLOOKUP(VALUE(TRIM(SPLIT(D212,"",""))), QUERY(goles!A:C,""select A, sum(C) where B='""&amp;A212&amp;""' group by A""),2,FALSE),0)))"),"0")</f>
        <v>0</v>
      </c>
      <c r="G212" s="5" t="s">
        <v>495</v>
      </c>
      <c r="H212" s="5" t="s">
        <v>25</v>
      </c>
      <c r="I212" s="7">
        <v>14942.0</v>
      </c>
      <c r="J212" s="6" t="s">
        <v>1100</v>
      </c>
      <c r="K212" s="5" t="s">
        <v>1101</v>
      </c>
      <c r="L212" s="5" t="s">
        <v>1102</v>
      </c>
      <c r="M212" s="5" t="s">
        <v>25</v>
      </c>
      <c r="N212" s="9" t="s">
        <v>1103</v>
      </c>
      <c r="O212" s="9" t="s">
        <v>1104</v>
      </c>
      <c r="P212" s="10">
        <v>-32.35968289</v>
      </c>
      <c r="Q212" s="10">
        <v>-54.16935573</v>
      </c>
      <c r="R212" s="11" t="s">
        <v>1105</v>
      </c>
      <c r="S212" s="11" t="s">
        <v>1106</v>
      </c>
      <c r="T212" s="12"/>
      <c r="U212" s="12"/>
    </row>
    <row r="213">
      <c r="A213" s="5" t="s">
        <v>1107</v>
      </c>
      <c r="B213" s="5" t="s">
        <v>117</v>
      </c>
      <c r="C213" s="6">
        <v>2.0</v>
      </c>
      <c r="D213" s="5" t="s">
        <v>370</v>
      </c>
      <c r="E213" s="5" t="str">
        <f>IFERROR(__xludf.DUMMYFUNCTION("TEXTJOIN("", "",TRUE,ARRAYFORMULA(IF(COUNTIFS(capitanes!A:A,SPLIT(D213,"",""),capitanes!B:B,A213)&gt;0,1,0)))"),"0, 0")</f>
        <v>0, 0</v>
      </c>
      <c r="F213" s="5" t="str">
        <f>IFERROR(__xludf.DUMMYFUNCTION("JOIN("", "",ARRAYFORMULA(IFERROR(VLOOKUP(VALUE(TRIM(SPLIT(D213,"",""))), QUERY(goles!A:C,""select A, sum(C) where B='""&amp;A213&amp;""' group by A""),2,FALSE),0)))"),"0, 0")</f>
        <v>0, 0</v>
      </c>
      <c r="G213" s="5" t="s">
        <v>54</v>
      </c>
      <c r="H213" s="5" t="s">
        <v>25</v>
      </c>
      <c r="I213" s="7">
        <v>6495.0</v>
      </c>
      <c r="J213" s="8">
        <v>6554.0</v>
      </c>
      <c r="K213" s="5" t="s">
        <v>35</v>
      </c>
      <c r="L213" s="5" t="s">
        <v>35</v>
      </c>
      <c r="M213" s="5" t="s">
        <v>25</v>
      </c>
      <c r="N213" s="9" t="s">
        <v>36</v>
      </c>
      <c r="O213" s="9" t="s">
        <v>37</v>
      </c>
      <c r="P213" s="10">
        <v>-34.89453803</v>
      </c>
      <c r="Q213" s="10">
        <v>-56.15278107</v>
      </c>
      <c r="R213" s="5" t="s">
        <v>1108</v>
      </c>
      <c r="S213" s="14" t="s">
        <v>1109</v>
      </c>
      <c r="T213" s="12"/>
      <c r="U213" s="12"/>
    </row>
    <row r="214">
      <c r="A214" s="5" t="s">
        <v>1110</v>
      </c>
      <c r="B214" s="5" t="s">
        <v>20</v>
      </c>
      <c r="C214" s="6">
        <v>1.0</v>
      </c>
      <c r="D214" s="6">
        <v>1970.0</v>
      </c>
      <c r="E214" s="5" t="str">
        <f>IFERROR(__xludf.DUMMYFUNCTION("TEXTJOIN("", "",TRUE,ARRAYFORMULA(IF(COUNTIFS(capitanes!A:A,SPLIT(D214,"",""),capitanes!B:B,A214)&gt;0,1,0)))"),"0")</f>
        <v>0</v>
      </c>
      <c r="F214" s="5" t="str">
        <f>IFERROR(__xludf.DUMMYFUNCTION("JOIN("", "",ARRAYFORMULA(IFERROR(VLOOKUP(VALUE(TRIM(SPLIT(D214,"",""))), QUERY(goles!A:C,""select A, sum(C) where B='""&amp;A214&amp;""' group by A""),2,FALSE),0)))"),"0")</f>
        <v>0</v>
      </c>
      <c r="G214" s="5" t="s">
        <v>59</v>
      </c>
      <c r="H214" s="5" t="s">
        <v>25</v>
      </c>
      <c r="I214" s="7">
        <v>16094.0</v>
      </c>
      <c r="J214" s="6" t="s">
        <v>1111</v>
      </c>
      <c r="K214" s="5" t="s">
        <v>588</v>
      </c>
      <c r="L214" s="5" t="s">
        <v>24</v>
      </c>
      <c r="M214" s="5" t="s">
        <v>25</v>
      </c>
      <c r="N214" s="9" t="s">
        <v>589</v>
      </c>
      <c r="O214" s="9" t="s">
        <v>590</v>
      </c>
      <c r="P214" s="10">
        <v>-34.72740899</v>
      </c>
      <c r="Q214" s="10">
        <v>-56.21650214</v>
      </c>
      <c r="R214" s="5" t="s">
        <v>1112</v>
      </c>
      <c r="S214" s="14" t="s">
        <v>1113</v>
      </c>
      <c r="T214" s="12"/>
      <c r="U214" s="12"/>
    </row>
    <row r="215">
      <c r="A215" s="5" t="s">
        <v>1114</v>
      </c>
      <c r="B215" s="5" t="s">
        <v>20</v>
      </c>
      <c r="C215" s="6">
        <v>1.0</v>
      </c>
      <c r="D215" s="6">
        <v>1974.0</v>
      </c>
      <c r="E215" s="5" t="str">
        <f>IFERROR(__xludf.DUMMYFUNCTION("TEXTJOIN("", "",TRUE,ARRAYFORMULA(IF(COUNTIFS(capitanes!A:A,SPLIT(D215,"",""),capitanes!B:B,A215)&gt;0,1,0)))"),"0")</f>
        <v>0</v>
      </c>
      <c r="F215" s="5" t="str">
        <f>IFERROR(__xludf.DUMMYFUNCTION("JOIN("", "",ARRAYFORMULA(IFERROR(VLOOKUP(VALUE(TRIM(SPLIT(D215,"",""))), QUERY(goles!A:C,""select A, sum(C) where B='""&amp;A215&amp;""' group by A""),2,FALSE),0)))"),"0")</f>
        <v>0</v>
      </c>
      <c r="G215" s="5" t="s">
        <v>54</v>
      </c>
      <c r="H215" s="5" t="s">
        <v>25</v>
      </c>
      <c r="I215" s="7">
        <v>19013.0</v>
      </c>
      <c r="J215" s="6" t="s">
        <v>1115</v>
      </c>
      <c r="K215" s="5" t="s">
        <v>35</v>
      </c>
      <c r="L215" s="5" t="s">
        <v>35</v>
      </c>
      <c r="M215" s="5" t="s">
        <v>25</v>
      </c>
      <c r="N215" s="9" t="s">
        <v>36</v>
      </c>
      <c r="O215" s="9" t="s">
        <v>37</v>
      </c>
      <c r="P215" s="10">
        <v>-34.89453803</v>
      </c>
      <c r="Q215" s="10">
        <v>-56.15278107</v>
      </c>
      <c r="R215" s="5" t="s">
        <v>1116</v>
      </c>
      <c r="S215" s="11" t="s">
        <v>1117</v>
      </c>
      <c r="T215" s="12"/>
      <c r="U215" s="12"/>
    </row>
    <row r="216">
      <c r="A216" s="5" t="s">
        <v>1118</v>
      </c>
      <c r="B216" s="5" t="s">
        <v>46</v>
      </c>
      <c r="C216" s="6">
        <v>1.0</v>
      </c>
      <c r="D216" s="6">
        <v>1962.0</v>
      </c>
      <c r="E216" s="5" t="str">
        <f>IFERROR(__xludf.DUMMYFUNCTION("TEXTJOIN("", "",TRUE,ARRAYFORMULA(IF(COUNTIFS(capitanes!A:A,SPLIT(D216,"",""),capitanes!B:B,A216)&gt;0,1,0)))"),"0")</f>
        <v>0</v>
      </c>
      <c r="F216" s="5" t="str">
        <f>IFERROR(__xludf.DUMMYFUNCTION("JOIN("", "",ARRAYFORMULA(IFERROR(VLOOKUP(VALUE(TRIM(SPLIT(D216,"",""))), QUERY(goles!A:C,""select A, sum(C) where B='""&amp;A216&amp;""' group by A""),2,FALSE),0)))"),"0")</f>
        <v>0</v>
      </c>
      <c r="G216" s="5" t="s">
        <v>59</v>
      </c>
      <c r="H216" s="5" t="s">
        <v>25</v>
      </c>
      <c r="I216" s="7">
        <v>14443.0</v>
      </c>
      <c r="J216" s="6" t="s">
        <v>1119</v>
      </c>
      <c r="K216" s="5" t="s">
        <v>35</v>
      </c>
      <c r="L216" s="5" t="s">
        <v>35</v>
      </c>
      <c r="M216" s="5" t="s">
        <v>25</v>
      </c>
      <c r="N216" s="9" t="s">
        <v>36</v>
      </c>
      <c r="O216" s="9" t="s">
        <v>37</v>
      </c>
      <c r="P216" s="10">
        <v>-34.89453803</v>
      </c>
      <c r="Q216" s="10">
        <v>-56.15278107</v>
      </c>
      <c r="R216" s="11" t="s">
        <v>1120</v>
      </c>
      <c r="S216" s="11" t="s">
        <v>1121</v>
      </c>
      <c r="T216" s="12"/>
      <c r="U216" s="12"/>
    </row>
    <row r="217">
      <c r="A217" s="5" t="s">
        <v>1122</v>
      </c>
      <c r="B217" s="5" t="s">
        <v>20</v>
      </c>
      <c r="C217" s="6">
        <v>1.0</v>
      </c>
      <c r="D217" s="6">
        <v>1950.0</v>
      </c>
      <c r="E217" s="5" t="str">
        <f>IFERROR(__xludf.DUMMYFUNCTION("TEXTJOIN("", "",TRUE,ARRAYFORMULA(IF(COUNTIFS(capitanes!A:A,SPLIT(D217,"",""),capitanes!B:B,A217)&gt;0,1,0)))"),"0")</f>
        <v>0</v>
      </c>
      <c r="F217" s="5" t="str">
        <f>IFERROR(__xludf.DUMMYFUNCTION("JOIN("", "",ARRAYFORMULA(IFERROR(VLOOKUP(VALUE(TRIM(SPLIT(D217,"",""))), QUERY(goles!A:C,""select A, sum(C) where B='""&amp;A217&amp;""' group by A""),2,FALSE),0)))"),"0")</f>
        <v>0</v>
      </c>
      <c r="G217" s="5" t="s">
        <v>541</v>
      </c>
      <c r="H217" s="5" t="s">
        <v>25</v>
      </c>
      <c r="I217" s="7">
        <v>11176.0</v>
      </c>
      <c r="J217" s="8">
        <v>11117.0</v>
      </c>
      <c r="K217" s="5" t="s">
        <v>35</v>
      </c>
      <c r="L217" s="5" t="s">
        <v>35</v>
      </c>
      <c r="M217" s="5" t="s">
        <v>25</v>
      </c>
      <c r="N217" s="9" t="s">
        <v>36</v>
      </c>
      <c r="O217" s="9" t="s">
        <v>37</v>
      </c>
      <c r="P217" s="10">
        <v>-34.89453803</v>
      </c>
      <c r="Q217" s="10">
        <v>-56.15278107</v>
      </c>
      <c r="R217" s="14" t="s">
        <v>1123</v>
      </c>
      <c r="S217" s="14" t="s">
        <v>1124</v>
      </c>
      <c r="T217" s="12"/>
      <c r="U217" s="12"/>
    </row>
    <row r="218">
      <c r="A218" s="5" t="s">
        <v>1125</v>
      </c>
      <c r="B218" s="5" t="s">
        <v>31</v>
      </c>
      <c r="C218" s="6">
        <v>2.0</v>
      </c>
      <c r="D218" s="5" t="s">
        <v>122</v>
      </c>
      <c r="E218" s="5" t="str">
        <f>IFERROR(__xludf.DUMMYFUNCTION("TEXTJOIN("", "",TRUE,ARRAYFORMULA(IF(COUNTIFS(capitanes!A:A,SPLIT(D218,"",""),capitanes!B:B,A218)&gt;0,1,0)))"),"0, 0")</f>
        <v>0, 0</v>
      </c>
      <c r="F218" s="5" t="str">
        <f>IFERROR(__xludf.DUMMYFUNCTION("JOIN("", "",ARRAYFORMULA(IFERROR(VLOOKUP(VALUE(TRIM(SPLIT(D218,"",""))), QUERY(goles!A:C,""select A, sum(C) where B='""&amp;A218&amp;""' group by A""),2,FALSE),0)))"),"0, 0")</f>
        <v>0, 0</v>
      </c>
      <c r="G218" s="5" t="s">
        <v>1126</v>
      </c>
      <c r="H218" s="29" t="s">
        <v>1127</v>
      </c>
      <c r="I218" s="7">
        <v>21770.0</v>
      </c>
      <c r="J218" s="8">
        <v>21770.0</v>
      </c>
      <c r="K218" s="5" t="s">
        <v>237</v>
      </c>
      <c r="L218" s="5" t="s">
        <v>237</v>
      </c>
      <c r="M218" s="5" t="s">
        <v>25</v>
      </c>
      <c r="N218" s="9" t="s">
        <v>238</v>
      </c>
      <c r="O218" s="9" t="s">
        <v>239</v>
      </c>
      <c r="P218" s="10">
        <v>-30.39450316</v>
      </c>
      <c r="Q218" s="10">
        <v>-56.45750082</v>
      </c>
      <c r="R218" s="5" t="s">
        <v>1128</v>
      </c>
      <c r="S218" s="14" t="s">
        <v>1129</v>
      </c>
      <c r="T218" s="12"/>
      <c r="U218" s="12"/>
    </row>
    <row r="219">
      <c r="A219" s="5" t="s">
        <v>1130</v>
      </c>
      <c r="B219" s="5" t="s">
        <v>31</v>
      </c>
      <c r="C219" s="6">
        <v>1.0</v>
      </c>
      <c r="D219" s="6">
        <v>1990.0</v>
      </c>
      <c r="E219" s="5" t="str">
        <f>IFERROR(__xludf.DUMMYFUNCTION("TEXTJOIN("", "",TRUE,ARRAYFORMULA(IF(COUNTIFS(capitanes!A:A,SPLIT(D219,"",""),capitanes!B:B,A219)&gt;0,1,0)))"),"0")</f>
        <v>0</v>
      </c>
      <c r="F219" s="5" t="str">
        <f>IFERROR(__xludf.DUMMYFUNCTION("JOIN("", "",ARRAYFORMULA(IFERROR(VLOOKUP(VALUE(TRIM(SPLIT(D219,"",""))), QUERY(goles!A:C,""select A, sum(C) where B='""&amp;A219&amp;""' group by A""),2,FALSE),0)))"),"0")</f>
        <v>0</v>
      </c>
      <c r="G219" s="5" t="s">
        <v>41</v>
      </c>
      <c r="H219" s="5" t="s">
        <v>25</v>
      </c>
      <c r="I219" s="7">
        <v>24865.0</v>
      </c>
      <c r="J219" s="6" t="s">
        <v>1131</v>
      </c>
      <c r="K219" s="5" t="s">
        <v>35</v>
      </c>
      <c r="L219" s="5" t="s">
        <v>35</v>
      </c>
      <c r="M219" s="5" t="s">
        <v>25</v>
      </c>
      <c r="N219" s="9" t="s">
        <v>36</v>
      </c>
      <c r="O219" s="9" t="s">
        <v>37</v>
      </c>
      <c r="P219" s="10">
        <v>-34.89453803</v>
      </c>
      <c r="Q219" s="10">
        <v>-56.15278107</v>
      </c>
      <c r="R219" s="5" t="s">
        <v>1132</v>
      </c>
      <c r="S219" s="24" t="s">
        <v>1133</v>
      </c>
      <c r="T219" s="12"/>
      <c r="U219" s="12"/>
    </row>
    <row r="220">
      <c r="A220" s="5" t="s">
        <v>1134</v>
      </c>
      <c r="B220" s="5" t="s">
        <v>46</v>
      </c>
      <c r="C220" s="6">
        <v>1.0</v>
      </c>
      <c r="D220" s="6">
        <v>1962.0</v>
      </c>
      <c r="E220" s="5" t="str">
        <f>IFERROR(__xludf.DUMMYFUNCTION("TEXTJOIN("", "",TRUE,ARRAYFORMULA(IF(COUNTIFS(capitanes!A:A,SPLIT(D220,"",""),capitanes!B:B,A220)&gt;0,1,0)))"),"0")</f>
        <v>0</v>
      </c>
      <c r="F220" s="5" t="str">
        <f>IFERROR(__xludf.DUMMYFUNCTION("JOIN("", "",ARRAYFORMULA(IFERROR(VLOOKUP(VALUE(TRIM(SPLIT(D220,"",""))), QUERY(goles!A:C,""select A, sum(C) where B='""&amp;A220&amp;""' group by A""),2,FALSE),0)))"),"0")</f>
        <v>0</v>
      </c>
      <c r="G220" s="5" t="s">
        <v>541</v>
      </c>
      <c r="H220" s="5" t="s">
        <v>25</v>
      </c>
      <c r="I220" s="7">
        <v>12807.0</v>
      </c>
      <c r="J220" s="6" t="s">
        <v>1135</v>
      </c>
      <c r="K220" s="5" t="s">
        <v>35</v>
      </c>
      <c r="L220" s="5" t="s">
        <v>35</v>
      </c>
      <c r="M220" s="5" t="s">
        <v>25</v>
      </c>
      <c r="N220" s="9" t="s">
        <v>36</v>
      </c>
      <c r="O220" s="9" t="s">
        <v>37</v>
      </c>
      <c r="P220" s="10">
        <v>-34.89453803</v>
      </c>
      <c r="Q220" s="10">
        <v>-56.15278107</v>
      </c>
      <c r="R220" s="20"/>
      <c r="S220" s="11" t="s">
        <v>1136</v>
      </c>
      <c r="T220" s="12"/>
      <c r="U220" s="12"/>
    </row>
    <row r="221">
      <c r="A221" s="5" t="s">
        <v>1137</v>
      </c>
      <c r="B221" s="5" t="s">
        <v>20</v>
      </c>
      <c r="C221" s="6">
        <v>1.0</v>
      </c>
      <c r="D221" s="6">
        <v>1990.0</v>
      </c>
      <c r="E221" s="5" t="str">
        <f>IFERROR(__xludf.DUMMYFUNCTION("TEXTJOIN("", "",TRUE,ARRAYFORMULA(IF(COUNTIFS(capitanes!A:A,SPLIT(D221,"",""),capitanes!B:B,A221)&gt;0,1,0)))"),"0")</f>
        <v>0</v>
      </c>
      <c r="F221" s="5" t="str">
        <f>IFERROR(__xludf.DUMMYFUNCTION("JOIN("", "",ARRAYFORMULA(IFERROR(VLOOKUP(VALUE(TRIM(SPLIT(D221,"",""))), QUERY(goles!A:C,""select A, sum(C) where B='""&amp;A221&amp;""' group by A""),2,FALSE),0)))"),"0")</f>
        <v>0</v>
      </c>
      <c r="G221" s="5" t="s">
        <v>84</v>
      </c>
      <c r="H221" s="5" t="s">
        <v>22</v>
      </c>
      <c r="I221" s="7">
        <v>24222.0</v>
      </c>
      <c r="J221" s="6" t="s">
        <v>1138</v>
      </c>
      <c r="K221" s="5" t="s">
        <v>35</v>
      </c>
      <c r="L221" s="5" t="s">
        <v>35</v>
      </c>
      <c r="M221" s="5" t="s">
        <v>25</v>
      </c>
      <c r="N221" s="9" t="s">
        <v>36</v>
      </c>
      <c r="O221" s="9" t="s">
        <v>37</v>
      </c>
      <c r="P221" s="10">
        <v>-34.89453803</v>
      </c>
      <c r="Q221" s="10">
        <v>-56.15278107</v>
      </c>
      <c r="R221" s="5" t="s">
        <v>1139</v>
      </c>
      <c r="S221" s="24" t="s">
        <v>1140</v>
      </c>
      <c r="T221" s="12"/>
      <c r="U221" s="12"/>
    </row>
    <row r="222">
      <c r="A222" s="16" t="s">
        <v>1141</v>
      </c>
      <c r="B222" s="16" t="s">
        <v>46</v>
      </c>
      <c r="C222" s="16">
        <v>1.0</v>
      </c>
      <c r="D222" s="16">
        <v>2026.0</v>
      </c>
      <c r="E222" s="5" t="str">
        <f>IFERROR(__xludf.DUMMYFUNCTION("TEXTJOIN("", "",TRUE,ARRAYFORMULA(IF(COUNTIFS(capitanes!A:A,SPLIT(D222,"",""),capitanes!B:B,A222)&gt;0,1,0)))"),"0")</f>
        <v>0</v>
      </c>
      <c r="F222" s="5" t="str">
        <f>IFERROR(__xludf.DUMMYFUNCTION("JOIN("", "",ARRAYFORMULA(IFERROR(VLOOKUP(VALUE(TRIM(SPLIT(D222,"",""))), QUERY(goles!A:C,""select A, sum(C) where B='""&amp;A222&amp;""' group by A""),2,FALSE),0)))"),"0")</f>
        <v>0</v>
      </c>
      <c r="G222" s="16" t="s">
        <v>1142</v>
      </c>
      <c r="H222" s="16" t="s">
        <v>453</v>
      </c>
      <c r="I222" s="17">
        <v>36108.0</v>
      </c>
      <c r="J222" s="27">
        <v>36108.0</v>
      </c>
      <c r="K222" s="5" t="s">
        <v>35</v>
      </c>
      <c r="L222" s="5" t="s">
        <v>35</v>
      </c>
      <c r="M222" s="5" t="s">
        <v>25</v>
      </c>
      <c r="N222" s="9" t="s">
        <v>36</v>
      </c>
      <c r="O222" s="9" t="s">
        <v>37</v>
      </c>
      <c r="P222" s="10">
        <v>-34.89453803</v>
      </c>
      <c r="Q222" s="10">
        <v>-56.15278107</v>
      </c>
      <c r="R222" s="19" t="s">
        <v>1143</v>
      </c>
      <c r="S222" s="19" t="s">
        <v>1144</v>
      </c>
      <c r="T222" s="12"/>
      <c r="U222" s="12"/>
    </row>
    <row r="223">
      <c r="A223" s="16" t="s">
        <v>1145</v>
      </c>
      <c r="B223" s="16" t="s">
        <v>117</v>
      </c>
      <c r="C223" s="16">
        <v>1.0</v>
      </c>
      <c r="D223" s="16">
        <v>2026.0</v>
      </c>
      <c r="E223" s="5" t="str">
        <f>IFERROR(__xludf.DUMMYFUNCTION("TEXTJOIN("", "",TRUE,ARRAYFORMULA(IF(COUNTIFS(capitanes!A:A,SPLIT(D223,"",""),capitanes!B:B,A223)&gt;0,1,0)))"),"0")</f>
        <v>0</v>
      </c>
      <c r="F223" s="5" t="str">
        <f>IFERROR(__xludf.DUMMYFUNCTION("JOIN("", "",ARRAYFORMULA(IFERROR(VLOOKUP(VALUE(TRIM(SPLIT(D223,"",""))), QUERY(goles!A:C,""select A, sum(C) where B='""&amp;A223&amp;""' group by A""),2,FALSE),0)))"),"0")</f>
        <v>0</v>
      </c>
      <c r="G223" s="16" t="s">
        <v>166</v>
      </c>
      <c r="H223" s="16" t="s">
        <v>141</v>
      </c>
      <c r="I223" s="17">
        <v>35679.0</v>
      </c>
      <c r="J223" s="30">
        <v>35679.0</v>
      </c>
      <c r="K223" s="16" t="s">
        <v>35</v>
      </c>
      <c r="L223" s="16" t="s">
        <v>35</v>
      </c>
      <c r="M223" s="16" t="s">
        <v>25</v>
      </c>
      <c r="N223" s="9" t="s">
        <v>36</v>
      </c>
      <c r="O223" s="9" t="s">
        <v>37</v>
      </c>
      <c r="P223" s="10">
        <v>-34.89453803</v>
      </c>
      <c r="Q223" s="10">
        <v>-56.15278107</v>
      </c>
      <c r="R223" s="23" t="s">
        <v>1146</v>
      </c>
      <c r="S223" s="19" t="s">
        <v>1147</v>
      </c>
      <c r="T223" s="12"/>
      <c r="U223" s="12"/>
    </row>
    <row r="224">
      <c r="A224" s="5" t="s">
        <v>1148</v>
      </c>
      <c r="B224" s="5" t="s">
        <v>31</v>
      </c>
      <c r="C224" s="6">
        <v>1.0</v>
      </c>
      <c r="D224" s="6">
        <v>1990.0</v>
      </c>
      <c r="E224" s="5" t="str">
        <f>IFERROR(__xludf.DUMMYFUNCTION("TEXTJOIN("", "",TRUE,ARRAYFORMULA(IF(COUNTIFS(capitanes!A:A,SPLIT(D224,"",""),capitanes!B:B,A224)&gt;0,1,0)))"),"0")</f>
        <v>0</v>
      </c>
      <c r="F224" s="5" t="str">
        <f>IFERROR(__xludf.DUMMYFUNCTION("JOIN("", "",ARRAYFORMULA(IFERROR(VLOOKUP(VALUE(TRIM(SPLIT(D224,"",""))), QUERY(goles!A:C,""select A, sum(C) where B='""&amp;A224&amp;""' group by A""),2,FALSE),0)))"),"0")</f>
        <v>0</v>
      </c>
      <c r="G224" s="5" t="s">
        <v>1149</v>
      </c>
      <c r="H224" s="5" t="s">
        <v>141</v>
      </c>
      <c r="I224" s="7">
        <v>22837.0</v>
      </c>
      <c r="J224" s="8">
        <v>22926.0</v>
      </c>
      <c r="K224" s="5" t="s">
        <v>1150</v>
      </c>
      <c r="L224" s="5" t="s">
        <v>108</v>
      </c>
      <c r="M224" s="5" t="s">
        <v>25</v>
      </c>
      <c r="N224" s="9" t="s">
        <v>1151</v>
      </c>
      <c r="O224" s="9" t="s">
        <v>1152</v>
      </c>
      <c r="P224" s="10">
        <v>-33.53012481</v>
      </c>
      <c r="Q224" s="10">
        <v>-58.21705357</v>
      </c>
      <c r="R224" s="11" t="s">
        <v>1153</v>
      </c>
      <c r="S224" s="24" t="s">
        <v>1154</v>
      </c>
      <c r="T224" s="12"/>
      <c r="U224" s="12"/>
    </row>
    <row r="225">
      <c r="A225" s="5" t="s">
        <v>1155</v>
      </c>
      <c r="B225" s="5" t="s">
        <v>20</v>
      </c>
      <c r="C225" s="6">
        <v>1.0</v>
      </c>
      <c r="D225" s="6">
        <v>1930.0</v>
      </c>
      <c r="E225" s="5" t="str">
        <f>IFERROR(__xludf.DUMMYFUNCTION("TEXTJOIN("", "",TRUE,ARRAYFORMULA(IF(COUNTIFS(capitanes!A:A,SPLIT(D225,"",""),capitanes!B:B,A225)&gt;0,1,0)))"),"0")</f>
        <v>0</v>
      </c>
      <c r="F225" s="5" t="str">
        <f>IFERROR(__xludf.DUMMYFUNCTION("JOIN("", "",ARRAYFORMULA(IFERROR(VLOOKUP(VALUE(TRIM(SPLIT(D225,"",""))), QUERY(goles!A:C,""select A, sum(C) where B='""&amp;A225&amp;""' group by A""),2,FALSE),0)))"),"0")</f>
        <v>0</v>
      </c>
      <c r="G225" s="5" t="s">
        <v>59</v>
      </c>
      <c r="H225" s="5" t="s">
        <v>25</v>
      </c>
      <c r="I225" s="7">
        <v>1395.0</v>
      </c>
      <c r="J225" s="6" t="s">
        <v>1156</v>
      </c>
      <c r="K225" s="5" t="s">
        <v>1157</v>
      </c>
      <c r="L225" s="5" t="s">
        <v>24</v>
      </c>
      <c r="M225" s="5" t="s">
        <v>25</v>
      </c>
      <c r="N225" s="9" t="s">
        <v>1158</v>
      </c>
      <c r="O225" s="9" t="s">
        <v>1159</v>
      </c>
      <c r="P225" s="10">
        <v>-34.4557259</v>
      </c>
      <c r="Q225" s="10">
        <v>-56.39248217</v>
      </c>
      <c r="R225" s="14" t="s">
        <v>1160</v>
      </c>
      <c r="S225" s="14" t="s">
        <v>1161</v>
      </c>
      <c r="T225" s="12"/>
      <c r="U225" s="12"/>
    </row>
    <row r="226">
      <c r="A226" s="5" t="s">
        <v>1162</v>
      </c>
      <c r="B226" s="5" t="s">
        <v>46</v>
      </c>
      <c r="C226" s="6">
        <v>1.0</v>
      </c>
      <c r="D226" s="6">
        <v>1950.0</v>
      </c>
      <c r="E226" s="5" t="str">
        <f>IFERROR(__xludf.DUMMYFUNCTION("TEXTJOIN("", "",TRUE,ARRAYFORMULA(IF(COUNTIFS(capitanes!A:A,SPLIT(D226,"",""),capitanes!B:B,A226)&gt;0,1,0)))"),"0")</f>
        <v>0</v>
      </c>
      <c r="F226" s="5" t="str">
        <f>IFERROR(__xludf.DUMMYFUNCTION("JOIN("", "",ARRAYFORMULA(IFERROR(VLOOKUP(VALUE(TRIM(SPLIT(D226,"",""))), QUERY(goles!A:C,""select A, sum(C) where B='""&amp;A226&amp;""' group by A""),2,FALSE),0)))"),"0")</f>
        <v>0</v>
      </c>
      <c r="G226" s="5" t="s">
        <v>59</v>
      </c>
      <c r="H226" s="5" t="s">
        <v>25</v>
      </c>
      <c r="I226" s="7">
        <v>7410.0</v>
      </c>
      <c r="J226" s="6" t="s">
        <v>1163</v>
      </c>
      <c r="K226" s="5" t="s">
        <v>35</v>
      </c>
      <c r="L226" s="5" t="s">
        <v>35</v>
      </c>
      <c r="M226" s="5" t="s">
        <v>25</v>
      </c>
      <c r="N226" s="9" t="s">
        <v>36</v>
      </c>
      <c r="O226" s="9" t="s">
        <v>37</v>
      </c>
      <c r="P226" s="10">
        <v>-34.89453803</v>
      </c>
      <c r="Q226" s="10">
        <v>-56.15278107</v>
      </c>
      <c r="R226" s="14" t="s">
        <v>1164</v>
      </c>
      <c r="S226" s="14" t="s">
        <v>767</v>
      </c>
      <c r="T226" s="12"/>
      <c r="U226" s="12"/>
    </row>
    <row r="227">
      <c r="A227" s="5" t="s">
        <v>1165</v>
      </c>
      <c r="B227" s="5" t="s">
        <v>20</v>
      </c>
      <c r="C227" s="6">
        <v>2.0</v>
      </c>
      <c r="D227" s="5" t="s">
        <v>1166</v>
      </c>
      <c r="E227" s="5" t="str">
        <f>IFERROR(__xludf.DUMMYFUNCTION("TEXTJOIN("", "",TRUE,ARRAYFORMULA(IF(COUNTIFS(capitanes!A:A,SPLIT(D227,"",""),capitanes!B:B,A227)&gt;0,1,0)))"),"0, 0")</f>
        <v>0, 0</v>
      </c>
      <c r="F227" s="5" t="str">
        <f>IFERROR(__xludf.DUMMYFUNCTION("JOIN("", "",ARRAYFORMULA(IFERROR(VLOOKUP(VALUE(TRIM(SPLIT(D227,"",""))), QUERY(goles!A:C,""select A, sum(C) where B='""&amp;A227&amp;""' group by A""),2,FALSE),0)))"),"0, 0")</f>
        <v>0, 0</v>
      </c>
      <c r="G227" s="5" t="s">
        <v>1167</v>
      </c>
      <c r="H227" s="5" t="s">
        <v>214</v>
      </c>
      <c r="I227" s="7">
        <v>28050.0</v>
      </c>
      <c r="J227" s="6" t="s">
        <v>1168</v>
      </c>
      <c r="K227" s="5" t="s">
        <v>1169</v>
      </c>
      <c r="L227" s="5" t="s">
        <v>1170</v>
      </c>
      <c r="M227" s="5" t="s">
        <v>25</v>
      </c>
      <c r="N227" s="9" t="s">
        <v>1171</v>
      </c>
      <c r="O227" s="9" t="s">
        <v>1172</v>
      </c>
      <c r="P227" s="10">
        <v>-34.370878</v>
      </c>
      <c r="Q227" s="10">
        <v>-55.24804874</v>
      </c>
      <c r="R227" s="5" t="s">
        <v>1173</v>
      </c>
      <c r="S227" s="14" t="s">
        <v>1174</v>
      </c>
      <c r="T227" s="12"/>
      <c r="U227" s="12"/>
    </row>
    <row r="228">
      <c r="A228" s="16" t="s">
        <v>1175</v>
      </c>
      <c r="B228" s="16" t="s">
        <v>46</v>
      </c>
      <c r="C228" s="16">
        <v>1.0</v>
      </c>
      <c r="D228" s="16">
        <v>2026.0</v>
      </c>
      <c r="E228" s="5" t="str">
        <f>IFERROR(__xludf.DUMMYFUNCTION("TEXTJOIN("", "",TRUE,ARRAYFORMULA(IF(COUNTIFS(capitanes!A:A,SPLIT(D228,"",""),capitanes!B:B,A228)&gt;0,1,0)))"),"0")</f>
        <v>0</v>
      </c>
      <c r="F228" s="5" t="str">
        <f>IFERROR(__xludf.DUMMYFUNCTION("JOIN("", "",ARRAYFORMULA(IFERROR(VLOOKUP(VALUE(TRIM(SPLIT(D228,"",""))), QUERY(goles!A:C,""select A, sum(C) where B='""&amp;A228&amp;""' group by A""),2,FALSE),0)))"),"0")</f>
        <v>0</v>
      </c>
      <c r="G228" s="16" t="s">
        <v>140</v>
      </c>
      <c r="H228" s="16" t="s">
        <v>141</v>
      </c>
      <c r="I228" s="17">
        <v>33103.0</v>
      </c>
      <c r="J228" s="30">
        <v>36390.0</v>
      </c>
      <c r="K228" s="16" t="s">
        <v>35</v>
      </c>
      <c r="L228" s="16" t="s">
        <v>35</v>
      </c>
      <c r="M228" s="16" t="s">
        <v>25</v>
      </c>
      <c r="N228" s="9" t="s">
        <v>36</v>
      </c>
      <c r="O228" s="9" t="s">
        <v>37</v>
      </c>
      <c r="P228" s="10">
        <v>-34.89453803</v>
      </c>
      <c r="Q228" s="10">
        <v>-56.15278107</v>
      </c>
      <c r="R228" s="23" t="s">
        <v>1176</v>
      </c>
      <c r="S228" s="23" t="s">
        <v>1177</v>
      </c>
      <c r="T228" s="12"/>
      <c r="U228" s="12"/>
    </row>
    <row r="229">
      <c r="A229" s="5" t="s">
        <v>1178</v>
      </c>
      <c r="B229" s="5" t="s">
        <v>46</v>
      </c>
      <c r="C229" s="6">
        <v>3.0</v>
      </c>
      <c r="D229" s="5" t="s">
        <v>1179</v>
      </c>
      <c r="E229" s="5" t="str">
        <f>IFERROR(__xludf.DUMMYFUNCTION("TEXTJOIN("", "",TRUE,ARRAYFORMULA(IF(COUNTIFS(capitanes!A:A,SPLIT(D229,"",""),capitanes!B:B,A229)&gt;0,1,0)))"),"0, 0, 0")</f>
        <v>0, 0, 0</v>
      </c>
      <c r="F229" s="5" t="str">
        <f>IFERROR(__xludf.DUMMYFUNCTION("JOIN("", "",ARRAYFORMULA(IFERROR(VLOOKUP(VALUE(TRIM(SPLIT(D229,"",""))), QUERY(goles!A:C,""select A, sum(C) where B='""&amp;A229&amp;""' group by A""),2,FALSE),0)))"),"0, 0, 0")</f>
        <v>0, 0, 0</v>
      </c>
      <c r="G229" s="5" t="s">
        <v>1180</v>
      </c>
      <c r="H229" s="5" t="s">
        <v>1181</v>
      </c>
      <c r="I229" s="7">
        <v>33153.0</v>
      </c>
      <c r="J229" s="8">
        <v>33064.0</v>
      </c>
      <c r="K229" s="5" t="s">
        <v>35</v>
      </c>
      <c r="L229" s="5" t="s">
        <v>35</v>
      </c>
      <c r="M229" s="5" t="s">
        <v>25</v>
      </c>
      <c r="N229" s="9" t="s">
        <v>36</v>
      </c>
      <c r="O229" s="9" t="s">
        <v>37</v>
      </c>
      <c r="P229" s="10">
        <v>-34.89453803</v>
      </c>
      <c r="Q229" s="10">
        <v>-56.15278107</v>
      </c>
      <c r="R229" s="5" t="s">
        <v>1182</v>
      </c>
      <c r="S229" s="14" t="s">
        <v>1183</v>
      </c>
      <c r="T229" s="12"/>
      <c r="U229" s="12"/>
    </row>
    <row r="230">
      <c r="A230" s="5" t="s">
        <v>1184</v>
      </c>
      <c r="B230" s="5" t="s">
        <v>31</v>
      </c>
      <c r="C230" s="6">
        <v>1.0</v>
      </c>
      <c r="D230" s="5">
        <v>2010.0</v>
      </c>
      <c r="E230" s="5" t="str">
        <f>IFERROR(__xludf.DUMMYFUNCTION("TEXTJOIN("", "",TRUE,ARRAYFORMULA(IF(COUNTIFS(capitanes!A:A,SPLIT(D230,"",""),capitanes!B:B,A230)&gt;0,1,0)))"),"0")</f>
        <v>0</v>
      </c>
      <c r="F230" s="5" t="str">
        <f>IFERROR(__xludf.DUMMYFUNCTION("JOIN("", "",ARRAYFORMULA(IFERROR(VLOOKUP(VALUE(TRIM(SPLIT(D230,"",""))), QUERY(goles!A:C,""select A, sum(C) where B='""&amp;A230&amp;""' group by A""),2,FALSE),0)))"),"0")</f>
        <v>0</v>
      </c>
      <c r="G230" s="5" t="s">
        <v>1185</v>
      </c>
      <c r="H230" s="5" t="s">
        <v>1186</v>
      </c>
      <c r="I230" s="7">
        <v>29594.0</v>
      </c>
      <c r="J230" s="8">
        <v>29799.0</v>
      </c>
      <c r="K230" s="5" t="s">
        <v>35</v>
      </c>
      <c r="L230" s="5" t="s">
        <v>35</v>
      </c>
      <c r="M230" s="5" t="s">
        <v>25</v>
      </c>
      <c r="N230" s="9" t="s">
        <v>36</v>
      </c>
      <c r="O230" s="9" t="s">
        <v>37</v>
      </c>
      <c r="P230" s="10">
        <v>-34.89453803</v>
      </c>
      <c r="Q230" s="10">
        <v>-56.15278107</v>
      </c>
      <c r="R230" s="5" t="s">
        <v>1187</v>
      </c>
      <c r="S230" s="14" t="s">
        <v>1188</v>
      </c>
      <c r="T230" s="12"/>
      <c r="U230" s="12"/>
    </row>
    <row r="231">
      <c r="A231" s="5" t="s">
        <v>1189</v>
      </c>
      <c r="B231" s="5" t="s">
        <v>20</v>
      </c>
      <c r="C231" s="6">
        <v>1.0</v>
      </c>
      <c r="D231" s="6">
        <v>2010.0</v>
      </c>
      <c r="E231" s="5" t="str">
        <f>IFERROR(__xludf.DUMMYFUNCTION("TEXTJOIN("", "",TRUE,ARRAYFORMULA(IF(COUNTIFS(capitanes!A:A,SPLIT(D231,"",""),capitanes!B:B,A231)&gt;0,1,0)))"),"0")</f>
        <v>0</v>
      </c>
      <c r="F231" s="5" t="str">
        <f>IFERROR(__xludf.DUMMYFUNCTION("JOIN("", "",ARRAYFORMULA(IFERROR(VLOOKUP(VALUE(TRIM(SPLIT(D231,"",""))), QUERY(goles!A:C,""select A, sum(C) where B='""&amp;A231&amp;""' group by A""),2,FALSE),0)))"),"0")</f>
        <v>0</v>
      </c>
      <c r="G231" s="5" t="s">
        <v>1190</v>
      </c>
      <c r="H231" s="5" t="s">
        <v>136</v>
      </c>
      <c r="I231" s="7">
        <v>31190.0</v>
      </c>
      <c r="J231" s="6" t="s">
        <v>1191</v>
      </c>
      <c r="K231" s="5" t="s">
        <v>35</v>
      </c>
      <c r="L231" s="5" t="s">
        <v>35</v>
      </c>
      <c r="M231" s="5" t="s">
        <v>25</v>
      </c>
      <c r="N231" s="9" t="s">
        <v>36</v>
      </c>
      <c r="O231" s="9" t="s">
        <v>37</v>
      </c>
      <c r="P231" s="10">
        <v>-34.89453803</v>
      </c>
      <c r="Q231" s="10">
        <v>-56.15278107</v>
      </c>
      <c r="R231" s="5" t="s">
        <v>1192</v>
      </c>
      <c r="S231" s="14" t="s">
        <v>1193</v>
      </c>
      <c r="T231" s="12"/>
      <c r="U231" s="12"/>
    </row>
    <row r="232">
      <c r="A232" s="5" t="s">
        <v>1194</v>
      </c>
      <c r="B232" s="5" t="s">
        <v>117</v>
      </c>
      <c r="C232" s="6">
        <v>1.0</v>
      </c>
      <c r="D232" s="6">
        <v>2022.0</v>
      </c>
      <c r="E232" s="5" t="str">
        <f>IFERROR(__xludf.DUMMYFUNCTION("TEXTJOIN("", "",TRUE,ARRAYFORMULA(IF(COUNTIFS(capitanes!A:A,SPLIT(D232,"",""),capitanes!B:B,A232)&gt;0,1,0)))"),"0")</f>
        <v>0</v>
      </c>
      <c r="F232" s="5" t="str">
        <f>IFERROR(__xludf.DUMMYFUNCTION("JOIN("", "",ARRAYFORMULA(IFERROR(VLOOKUP(VALUE(TRIM(SPLIT(D232,"",""))), QUERY(goles!A:C,""select A, sum(C) where B='""&amp;A232&amp;""' group by A""),2,FALSE),0)))"),"0")</f>
        <v>0</v>
      </c>
      <c r="G232" s="5" t="s">
        <v>313</v>
      </c>
      <c r="H232" s="5" t="s">
        <v>136</v>
      </c>
      <c r="I232" s="7">
        <v>31643.0</v>
      </c>
      <c r="J232" s="6" t="s">
        <v>1195</v>
      </c>
      <c r="K232" s="5" t="s">
        <v>35</v>
      </c>
      <c r="L232" s="5" t="s">
        <v>35</v>
      </c>
      <c r="M232" s="5" t="s">
        <v>25</v>
      </c>
      <c r="N232" s="9" t="s">
        <v>36</v>
      </c>
      <c r="O232" s="9" t="s">
        <v>37</v>
      </c>
      <c r="P232" s="10">
        <v>-34.89453803</v>
      </c>
      <c r="Q232" s="10">
        <v>-56.15278107</v>
      </c>
      <c r="R232" s="5" t="s">
        <v>1196</v>
      </c>
      <c r="S232" s="14" t="s">
        <v>1197</v>
      </c>
      <c r="T232" s="12"/>
      <c r="U232" s="12"/>
    </row>
    <row r="233">
      <c r="A233" s="5" t="s">
        <v>1198</v>
      </c>
      <c r="B233" s="5" t="s">
        <v>20</v>
      </c>
      <c r="C233" s="6">
        <v>1.0</v>
      </c>
      <c r="D233" s="6">
        <v>1990.0</v>
      </c>
      <c r="E233" s="5" t="str">
        <f>IFERROR(__xludf.DUMMYFUNCTION("TEXTJOIN("", "",TRUE,ARRAYFORMULA(IF(COUNTIFS(capitanes!A:A,SPLIT(D233,"",""),capitanes!B:B,A233)&gt;0,1,0)))"),"0")</f>
        <v>0</v>
      </c>
      <c r="F233" s="5" t="str">
        <f>IFERROR(__xludf.DUMMYFUNCTION("JOIN("", "",ARRAYFORMULA(IFERROR(VLOOKUP(VALUE(TRIM(SPLIT(D233,"",""))), QUERY(goles!A:C,""select A, sum(C) where B='""&amp;A233&amp;""' group by A""),2,FALSE),0)))"),"0")</f>
        <v>0</v>
      </c>
      <c r="G233" s="5" t="s">
        <v>495</v>
      </c>
      <c r="H233" s="5" t="s">
        <v>25</v>
      </c>
      <c r="I233" s="7">
        <v>25249.0</v>
      </c>
      <c r="J233" s="6" t="s">
        <v>1199</v>
      </c>
      <c r="K233" s="5" t="s">
        <v>35</v>
      </c>
      <c r="L233" s="5" t="s">
        <v>35</v>
      </c>
      <c r="M233" s="5" t="s">
        <v>25</v>
      </c>
      <c r="N233" s="9" t="s">
        <v>36</v>
      </c>
      <c r="O233" s="9" t="s">
        <v>37</v>
      </c>
      <c r="P233" s="10">
        <v>-34.89453803</v>
      </c>
      <c r="Q233" s="10">
        <v>-56.15278107</v>
      </c>
      <c r="R233" s="5" t="s">
        <v>1200</v>
      </c>
      <c r="S233" s="24" t="s">
        <v>1201</v>
      </c>
      <c r="T233" s="12"/>
      <c r="U233" s="12"/>
    </row>
    <row r="234">
      <c r="A234" s="5" t="s">
        <v>1202</v>
      </c>
      <c r="B234" s="5" t="s">
        <v>117</v>
      </c>
      <c r="C234" s="6">
        <v>2.0</v>
      </c>
      <c r="D234" s="6" t="s">
        <v>32</v>
      </c>
      <c r="E234" s="5" t="str">
        <f>IFERROR(__xludf.DUMMYFUNCTION("TEXTJOIN("", "",TRUE,ARRAYFORMULA(IF(COUNTIFS(capitanes!A:A,SPLIT(D234,"",""),capitanes!B:B,A234)&gt;0,1,0)))"),"0, 0")</f>
        <v>0, 0</v>
      </c>
      <c r="F234" s="5" t="str">
        <f>IFERROR(__xludf.DUMMYFUNCTION("JOIN("", "",ARRAYFORMULA(IFERROR(VLOOKUP(VALUE(TRIM(SPLIT(D234,"",""))), QUERY(goles!A:C,""select A, sum(C) where B='""&amp;A234&amp;""' group by A""),2,FALSE),0)))"),"0, 0")</f>
        <v>0, 0</v>
      </c>
      <c r="G234" s="5" t="s">
        <v>1203</v>
      </c>
      <c r="H234" s="5" t="s">
        <v>868</v>
      </c>
      <c r="I234" s="7">
        <v>34051.0</v>
      </c>
      <c r="J234" s="6" t="s">
        <v>1204</v>
      </c>
      <c r="K234" s="5" t="s">
        <v>462</v>
      </c>
      <c r="L234" s="5" t="s">
        <v>74</v>
      </c>
      <c r="M234" s="5" t="s">
        <v>25</v>
      </c>
      <c r="N234" s="9" t="s">
        <v>463</v>
      </c>
      <c r="O234" s="9" t="s">
        <v>464</v>
      </c>
      <c r="P234" s="10">
        <v>-33.87366065</v>
      </c>
      <c r="Q234" s="10">
        <v>-58.40549768</v>
      </c>
      <c r="R234" s="14" t="s">
        <v>1205</v>
      </c>
      <c r="S234" s="14" t="s">
        <v>1206</v>
      </c>
      <c r="T234" s="12"/>
      <c r="U234" s="12"/>
    </row>
    <row r="235">
      <c r="A235" s="5" t="s">
        <v>1207</v>
      </c>
      <c r="B235" s="5" t="s">
        <v>31</v>
      </c>
      <c r="C235" s="6">
        <v>1.0</v>
      </c>
      <c r="D235" s="6">
        <v>1986.0</v>
      </c>
      <c r="E235" s="5" t="str">
        <f>IFERROR(__xludf.DUMMYFUNCTION("TEXTJOIN("", "",TRUE,ARRAYFORMULA(IF(COUNTIFS(capitanes!A:A,SPLIT(D235,"",""),capitanes!B:B,A235)&gt;0,1,0)))"),"0")</f>
        <v>0</v>
      </c>
      <c r="F235" s="5" t="str">
        <f>IFERROR(__xludf.DUMMYFUNCTION("JOIN("", "",ARRAYFORMULA(IFERROR(VLOOKUP(VALUE(TRIM(SPLIT(D235,"",""))), QUERY(goles!A:C,""select A, sum(C) where B='""&amp;A235&amp;""' group by A""),2,FALSE),0)))"),"0")</f>
        <v>0</v>
      </c>
      <c r="G235" s="5" t="s">
        <v>1208</v>
      </c>
      <c r="H235" s="5" t="s">
        <v>694</v>
      </c>
      <c r="I235" s="7">
        <v>20673.0</v>
      </c>
      <c r="J235" s="8">
        <v>20614.0</v>
      </c>
      <c r="K235" s="5" t="s">
        <v>187</v>
      </c>
      <c r="L235" s="5" t="s">
        <v>187</v>
      </c>
      <c r="M235" s="5" t="s">
        <v>25</v>
      </c>
      <c r="N235" s="9" t="s">
        <v>188</v>
      </c>
      <c r="O235" s="9" t="s">
        <v>189</v>
      </c>
      <c r="P235" s="10">
        <v>-31.38663817</v>
      </c>
      <c r="Q235" s="10">
        <v>-57.93598627</v>
      </c>
      <c r="R235" s="5" t="s">
        <v>1209</v>
      </c>
      <c r="S235" s="24" t="s">
        <v>1210</v>
      </c>
      <c r="T235" s="12"/>
      <c r="U235" s="12"/>
    </row>
    <row r="236">
      <c r="A236" s="5" t="s">
        <v>1211</v>
      </c>
      <c r="B236" s="5" t="s">
        <v>31</v>
      </c>
      <c r="C236" s="6">
        <v>1.0</v>
      </c>
      <c r="D236" s="6">
        <v>1954.0</v>
      </c>
      <c r="E236" s="5" t="str">
        <f>IFERROR(__xludf.DUMMYFUNCTION("TEXTJOIN("", "",TRUE,ARRAYFORMULA(IF(COUNTIFS(capitanes!A:A,SPLIT(D236,"",""),capitanes!B:B,A236)&gt;0,1,0)))"),"0")</f>
        <v>0</v>
      </c>
      <c r="F236" s="5" t="str">
        <f>IFERROR(__xludf.DUMMYFUNCTION("JOIN("", "",ARRAYFORMULA(IFERROR(VLOOKUP(VALUE(TRIM(SPLIT(D236,"",""))), QUERY(goles!A:C,""select A, sum(C) where B='""&amp;A236&amp;""' group by A""),2,FALSE),0)))"),"0")</f>
        <v>0</v>
      </c>
      <c r="G236" s="5" t="s">
        <v>41</v>
      </c>
      <c r="H236" s="5" t="s">
        <v>25</v>
      </c>
      <c r="I236" s="7">
        <v>9588.0</v>
      </c>
      <c r="J236" s="8">
        <v>9501.0</v>
      </c>
      <c r="K236" s="5" t="s">
        <v>35</v>
      </c>
      <c r="L236" s="5" t="s">
        <v>35</v>
      </c>
      <c r="M236" s="5" t="s">
        <v>25</v>
      </c>
      <c r="N236" s="9" t="s">
        <v>36</v>
      </c>
      <c r="O236" s="9" t="s">
        <v>37</v>
      </c>
      <c r="P236" s="10">
        <v>-34.89453803</v>
      </c>
      <c r="Q236" s="10">
        <v>-56.15278107</v>
      </c>
      <c r="R236" s="11" t="s">
        <v>1212</v>
      </c>
      <c r="S236" s="11" t="s">
        <v>1213</v>
      </c>
      <c r="T236" s="12"/>
      <c r="U236" s="12"/>
    </row>
    <row r="237">
      <c r="A237" s="5" t="s">
        <v>1214</v>
      </c>
      <c r="B237" s="5" t="s">
        <v>20</v>
      </c>
      <c r="C237" s="6">
        <v>1.0</v>
      </c>
      <c r="D237" s="6">
        <v>1986.0</v>
      </c>
      <c r="E237" s="5" t="str">
        <f>IFERROR(__xludf.DUMMYFUNCTION("TEXTJOIN("", "",TRUE,ARRAYFORMULA(IF(COUNTIFS(capitanes!A:A,SPLIT(D237,"",""),capitanes!B:B,A237)&gt;0,1,0)))"),"0")</f>
        <v>0</v>
      </c>
      <c r="F237" s="5" t="str">
        <f>IFERROR(__xludf.DUMMYFUNCTION("JOIN("", "",ARRAYFORMULA(IFERROR(VLOOKUP(VALUE(TRIM(SPLIT(D237,"",""))), QUERY(goles!A:C,""select A, sum(C) where B='""&amp;A237&amp;""' group by A""),2,FALSE),0)))"),"0")</f>
        <v>0</v>
      </c>
      <c r="G237" s="5" t="s">
        <v>1215</v>
      </c>
      <c r="H237" s="5" t="s">
        <v>97</v>
      </c>
      <c r="I237" s="7">
        <v>21721.0</v>
      </c>
      <c r="J237" s="6" t="s">
        <v>1216</v>
      </c>
      <c r="K237" s="5" t="s">
        <v>1217</v>
      </c>
      <c r="L237" s="5" t="s">
        <v>237</v>
      </c>
      <c r="M237" s="5" t="s">
        <v>25</v>
      </c>
      <c r="N237" s="9" t="s">
        <v>1218</v>
      </c>
      <c r="O237" s="9" t="s">
        <v>1219</v>
      </c>
      <c r="P237" s="10">
        <v>-30.29854517</v>
      </c>
      <c r="Q237" s="10">
        <v>-56.96855966</v>
      </c>
      <c r="R237" s="14" t="s">
        <v>1220</v>
      </c>
      <c r="S237" s="24" t="s">
        <v>1221</v>
      </c>
      <c r="T237" s="12"/>
      <c r="U237" s="12"/>
    </row>
    <row r="238">
      <c r="A238" s="5" t="s">
        <v>1222</v>
      </c>
      <c r="B238" s="5" t="s">
        <v>46</v>
      </c>
      <c r="C238" s="6">
        <v>1.0</v>
      </c>
      <c r="D238" s="6">
        <v>1986.0</v>
      </c>
      <c r="E238" s="5" t="str">
        <f>IFERROR(__xludf.DUMMYFUNCTION("TEXTJOIN("", "",TRUE,ARRAYFORMULA(IF(COUNTIFS(capitanes!A:A,SPLIT(D238,"",""),capitanes!B:B,A238)&gt;0,1,0)))"),"0")</f>
        <v>0</v>
      </c>
      <c r="F238" s="5" t="str">
        <f>IFERROR(__xludf.DUMMYFUNCTION("JOIN("", "",ARRAYFORMULA(IFERROR(VLOOKUP(VALUE(TRIM(SPLIT(D238,"",""))), QUERY(goles!A:C,""select A, sum(C) where B='""&amp;A238&amp;""' group by A""),2,FALSE),0)))"),"0")</f>
        <v>0</v>
      </c>
      <c r="G238" s="5" t="s">
        <v>331</v>
      </c>
      <c r="H238" s="5" t="s">
        <v>214</v>
      </c>
      <c r="I238" s="31">
        <v>21284.0</v>
      </c>
      <c r="J238" s="8">
        <v>21432.0</v>
      </c>
      <c r="K238" s="5" t="s">
        <v>228</v>
      </c>
      <c r="L238" s="5" t="s">
        <v>228</v>
      </c>
      <c r="M238" s="5" t="s">
        <v>25</v>
      </c>
      <c r="N238" s="9" t="s">
        <v>229</v>
      </c>
      <c r="O238" s="9" t="s">
        <v>230</v>
      </c>
      <c r="P238" s="10">
        <v>-33.22102512</v>
      </c>
      <c r="Q238" s="10">
        <v>-54.3753045</v>
      </c>
      <c r="R238" s="5" t="s">
        <v>1223</v>
      </c>
      <c r="S238" s="24" t="s">
        <v>1224</v>
      </c>
      <c r="T238" s="12"/>
      <c r="U238" s="12"/>
    </row>
    <row r="239">
      <c r="A239" s="5" t="s">
        <v>1225</v>
      </c>
      <c r="B239" s="5" t="s">
        <v>31</v>
      </c>
      <c r="C239" s="6">
        <v>3.0</v>
      </c>
      <c r="D239" s="5" t="s">
        <v>769</v>
      </c>
      <c r="E239" s="5" t="str">
        <f>IFERROR(__xludf.DUMMYFUNCTION("TEXTJOIN("", "",TRUE,ARRAYFORMULA(IF(COUNTIFS(capitanes!A:A,SPLIT(D239,"",""),capitanes!B:B,A239)&gt;0,1,0)))"),"0, 0, 0")</f>
        <v>0, 0, 0</v>
      </c>
      <c r="F239" s="5" t="str">
        <f>IFERROR(__xludf.DUMMYFUNCTION("JOIN("", "",ARRAYFORMULA(IFERROR(VLOOKUP(VALUE(TRIM(SPLIT(D239,"",""))), QUERY(goles!A:C,""select A, sum(C) where B='""&amp;A239&amp;""' group by A""),2,FALSE),0)))"),"0, 1, 0")</f>
        <v>0, 1, 0</v>
      </c>
      <c r="G239" s="5" t="s">
        <v>1226</v>
      </c>
      <c r="H239" s="5" t="s">
        <v>227</v>
      </c>
      <c r="I239" s="7">
        <v>16351.0</v>
      </c>
      <c r="J239" s="8">
        <v>16233.0</v>
      </c>
      <c r="K239" s="5" t="s">
        <v>35</v>
      </c>
      <c r="L239" s="5" t="s">
        <v>35</v>
      </c>
      <c r="M239" s="5" t="s">
        <v>25</v>
      </c>
      <c r="N239" s="9" t="s">
        <v>36</v>
      </c>
      <c r="O239" s="9" t="s">
        <v>37</v>
      </c>
      <c r="P239" s="10">
        <v>-34.89453803</v>
      </c>
      <c r="Q239" s="10">
        <v>-56.15278107</v>
      </c>
      <c r="R239" s="5" t="s">
        <v>1227</v>
      </c>
      <c r="S239" s="14" t="s">
        <v>1228</v>
      </c>
      <c r="T239" s="12"/>
      <c r="U239" s="12"/>
    </row>
    <row r="240">
      <c r="A240" s="5" t="s">
        <v>1229</v>
      </c>
      <c r="B240" s="5" t="s">
        <v>46</v>
      </c>
      <c r="C240" s="6">
        <v>2.0</v>
      </c>
      <c r="D240" s="5" t="s">
        <v>370</v>
      </c>
      <c r="E240" s="5" t="str">
        <f>IFERROR(__xludf.DUMMYFUNCTION("TEXTJOIN("", "",TRUE,ARRAYFORMULA(IF(COUNTIFS(capitanes!A:A,SPLIT(D240,"",""),capitanes!B:B,A240)&gt;0,1,0)))"),"0, 0")</f>
        <v>0, 0</v>
      </c>
      <c r="F240" s="5" t="str">
        <f>IFERROR(__xludf.DUMMYFUNCTION("JOIN("", "",ARRAYFORMULA(IFERROR(VLOOKUP(VALUE(TRIM(SPLIT(D240,"",""))), QUERY(goles!A:C,""select A, sum(C) where B='""&amp;A240&amp;""' group by A""),2,FALSE),0)))"),"0, 0")</f>
        <v>0, 0</v>
      </c>
      <c r="G240" s="5" t="s">
        <v>1230</v>
      </c>
      <c r="H240" s="5" t="s">
        <v>25</v>
      </c>
      <c r="I240" s="7">
        <v>9984.0</v>
      </c>
      <c r="J240" s="8">
        <v>9898.0</v>
      </c>
      <c r="K240" s="5" t="s">
        <v>1231</v>
      </c>
      <c r="L240" s="5" t="s">
        <v>35</v>
      </c>
      <c r="M240" s="5" t="s">
        <v>25</v>
      </c>
      <c r="N240" s="9" t="s">
        <v>1232</v>
      </c>
      <c r="O240" s="9" t="s">
        <v>1233</v>
      </c>
      <c r="P240" s="10">
        <v>-34.89453803</v>
      </c>
      <c r="Q240" s="10">
        <v>-56.15278107</v>
      </c>
      <c r="R240" s="5" t="s">
        <v>1234</v>
      </c>
      <c r="S240" s="14" t="s">
        <v>1235</v>
      </c>
      <c r="T240" s="12"/>
      <c r="U240" s="12"/>
      <c r="V240" s="12"/>
      <c r="W240" s="12"/>
      <c r="X240" s="12"/>
      <c r="Y240" s="12"/>
      <c r="Z240" s="12"/>
      <c r="AA240" s="12"/>
      <c r="AB240" s="12"/>
      <c r="AC240" s="12"/>
    </row>
    <row r="241">
      <c r="A241" s="5" t="s">
        <v>1236</v>
      </c>
      <c r="B241" s="5" t="s">
        <v>117</v>
      </c>
      <c r="C241" s="6">
        <v>1.0</v>
      </c>
      <c r="D241" s="6">
        <v>1930.0</v>
      </c>
      <c r="E241" s="5" t="str">
        <f>IFERROR(__xludf.DUMMYFUNCTION("TEXTJOIN("", "",TRUE,ARRAYFORMULA(IF(COUNTIFS(capitanes!A:A,SPLIT(D241,"",""),capitanes!B:B,A241)&gt;0,1,0)))"),"0")</f>
        <v>0</v>
      </c>
      <c r="F241" s="5" t="str">
        <f>IFERROR(__xludf.DUMMYFUNCTION("JOIN("", "",ARRAYFORMULA(IFERROR(VLOOKUP(VALUE(TRIM(SPLIT(D241,"",""))), QUERY(goles!A:C,""select A, sum(C) where B='""&amp;A241&amp;""' group by A""),2,FALSE),0)))"),"0")</f>
        <v>0</v>
      </c>
      <c r="G241" s="5" t="s">
        <v>1024</v>
      </c>
      <c r="H241" s="5" t="s">
        <v>25</v>
      </c>
      <c r="I241" s="7">
        <v>1845.0</v>
      </c>
      <c r="J241" s="6" t="s">
        <v>1237</v>
      </c>
      <c r="K241" s="5" t="s">
        <v>297</v>
      </c>
      <c r="L241" s="5" t="s">
        <v>74</v>
      </c>
      <c r="M241" s="5" t="s">
        <v>25</v>
      </c>
      <c r="N241" s="9" t="s">
        <v>298</v>
      </c>
      <c r="O241" s="9" t="s">
        <v>299</v>
      </c>
      <c r="P241" s="10">
        <v>-34.46709516</v>
      </c>
      <c r="Q241" s="10">
        <v>-57.84566773</v>
      </c>
      <c r="R241" s="14" t="s">
        <v>1238</v>
      </c>
      <c r="S241" s="14" t="s">
        <v>1239</v>
      </c>
      <c r="T241" s="12"/>
      <c r="U241" s="12"/>
      <c r="V241" s="12"/>
      <c r="W241" s="12"/>
      <c r="X241" s="12"/>
      <c r="Y241" s="12"/>
      <c r="Z241" s="12"/>
      <c r="AA241" s="12"/>
      <c r="AB241" s="12"/>
      <c r="AC241" s="12"/>
    </row>
    <row r="242">
      <c r="A242" s="5" t="s">
        <v>1240</v>
      </c>
      <c r="B242" s="5" t="s">
        <v>117</v>
      </c>
      <c r="C242" s="6">
        <v>1.0</v>
      </c>
      <c r="D242" s="6">
        <v>1970.0</v>
      </c>
      <c r="E242" s="5" t="str">
        <f>IFERROR(__xludf.DUMMYFUNCTION("TEXTJOIN("", "",TRUE,ARRAYFORMULA(IF(COUNTIFS(capitanes!A:A,SPLIT(D242,"",""),capitanes!B:B,A242)&gt;0,1,0)))"),"0")</f>
        <v>0</v>
      </c>
      <c r="F242" s="5" t="str">
        <f>IFERROR(__xludf.DUMMYFUNCTION("JOIN("", "",ARRAYFORMULA(IFERROR(VLOOKUP(VALUE(TRIM(SPLIT(D242,"",""))), QUERY(goles!A:C,""select A, sum(C) where B='""&amp;A242&amp;""' group by A""),2,FALSE),0)))"),"0")</f>
        <v>0</v>
      </c>
      <c r="G242" s="5" t="s">
        <v>54</v>
      </c>
      <c r="H242" s="5" t="s">
        <v>25</v>
      </c>
      <c r="I242" s="7">
        <v>18020.0</v>
      </c>
      <c r="J242" s="8">
        <v>17934.0</v>
      </c>
      <c r="K242" s="5" t="s">
        <v>35</v>
      </c>
      <c r="L242" s="5" t="s">
        <v>35</v>
      </c>
      <c r="M242" s="5" t="s">
        <v>25</v>
      </c>
      <c r="N242" s="9" t="s">
        <v>36</v>
      </c>
      <c r="O242" s="9" t="s">
        <v>37</v>
      </c>
      <c r="P242" s="10">
        <v>-34.89453803</v>
      </c>
      <c r="Q242" s="10">
        <v>-56.15278107</v>
      </c>
      <c r="R242" s="14" t="s">
        <v>1241</v>
      </c>
      <c r="S242" s="14" t="s">
        <v>1242</v>
      </c>
      <c r="T242" s="12"/>
      <c r="U242" s="12"/>
      <c r="V242" s="12"/>
      <c r="W242" s="12"/>
      <c r="X242" s="12"/>
      <c r="Y242" s="12"/>
      <c r="Z242" s="12"/>
      <c r="AA242" s="12"/>
      <c r="AB242" s="12"/>
      <c r="AC242" s="12"/>
    </row>
    <row r="243">
      <c r="A243" s="5" t="s">
        <v>1243</v>
      </c>
      <c r="B243" s="5" t="s">
        <v>46</v>
      </c>
      <c r="C243" s="6">
        <v>2.0</v>
      </c>
      <c r="D243" s="5" t="s">
        <v>89</v>
      </c>
      <c r="E243" s="5" t="str">
        <f>IFERROR(__xludf.DUMMYFUNCTION("TEXTJOIN("", "",TRUE,ARRAYFORMULA(IF(COUNTIFS(capitanes!A:A,SPLIT(D243,"",""),capitanes!B:B,A243)&gt;0,1,0)))"),"0, 0")</f>
        <v>0, 0</v>
      </c>
      <c r="F243" s="5" t="str">
        <f>IFERROR(__xludf.DUMMYFUNCTION("JOIN("", "",ARRAYFORMULA(IFERROR(VLOOKUP(VALUE(TRIM(SPLIT(D243,"",""))), QUERY(goles!A:C,""select A, sum(C) where B='""&amp;A243&amp;""' group by A""),2,FALSE),0)))"),"0, 0")</f>
        <v>0, 0</v>
      </c>
      <c r="G243" s="5" t="s">
        <v>1244</v>
      </c>
      <c r="H243" s="5" t="s">
        <v>22</v>
      </c>
      <c r="I243" s="7">
        <v>30886.0</v>
      </c>
      <c r="J243" s="6" t="s">
        <v>1245</v>
      </c>
      <c r="K243" s="5" t="s">
        <v>48</v>
      </c>
      <c r="L243" s="5" t="s">
        <v>48</v>
      </c>
      <c r="M243" s="5" t="s">
        <v>25</v>
      </c>
      <c r="N243" s="9" t="s">
        <v>49</v>
      </c>
      <c r="O243" s="9" t="s">
        <v>50</v>
      </c>
      <c r="P243" s="10">
        <v>-32.32100867</v>
      </c>
      <c r="Q243" s="10">
        <v>-58.08768999</v>
      </c>
      <c r="R243" s="14" t="s">
        <v>1246</v>
      </c>
      <c r="S243" s="14" t="s">
        <v>1247</v>
      </c>
      <c r="T243" s="12"/>
      <c r="U243" s="12"/>
      <c r="V243" s="12"/>
      <c r="W243" s="12"/>
      <c r="X243" s="12"/>
      <c r="Y243" s="12"/>
      <c r="Z243" s="12"/>
      <c r="AA243" s="12"/>
      <c r="AB243" s="12"/>
      <c r="AC243" s="12"/>
    </row>
    <row r="244">
      <c r="A244" s="5" t="s">
        <v>1248</v>
      </c>
      <c r="B244" s="5" t="s">
        <v>31</v>
      </c>
      <c r="C244" s="6">
        <v>1.0</v>
      </c>
      <c r="D244" s="6">
        <v>1974.0</v>
      </c>
      <c r="E244" s="5" t="str">
        <f>IFERROR(__xludf.DUMMYFUNCTION("TEXTJOIN("", "",TRUE,ARRAYFORMULA(IF(COUNTIFS(capitanes!A:A,SPLIT(D244,"",""),capitanes!B:B,A244)&gt;0,1,0)))"),"0")</f>
        <v>0</v>
      </c>
      <c r="F244" s="5" t="str">
        <f>IFERROR(__xludf.DUMMYFUNCTION("JOIN("", "",ARRAYFORMULA(IFERROR(VLOOKUP(VALUE(TRIM(SPLIT(D244,"",""))), QUERY(goles!A:C,""select A, sum(C) where B='""&amp;A244&amp;""' group by A""),2,FALSE),0)))"),"0")</f>
        <v>0</v>
      </c>
      <c r="G244" s="5" t="s">
        <v>59</v>
      </c>
      <c r="H244" s="5" t="s">
        <v>25</v>
      </c>
      <c r="I244" s="7">
        <v>19162.0</v>
      </c>
      <c r="J244" s="6" t="s">
        <v>1249</v>
      </c>
      <c r="K244" s="5" t="s">
        <v>35</v>
      </c>
      <c r="L244" s="5" t="s">
        <v>35</v>
      </c>
      <c r="M244" s="5" t="s">
        <v>25</v>
      </c>
      <c r="N244" s="9" t="s">
        <v>36</v>
      </c>
      <c r="O244" s="9" t="s">
        <v>37</v>
      </c>
      <c r="P244" s="10">
        <v>-34.89453803</v>
      </c>
      <c r="Q244" s="10">
        <v>-56.15278107</v>
      </c>
      <c r="R244" s="14" t="s">
        <v>1250</v>
      </c>
      <c r="S244" s="24" t="s">
        <v>1251</v>
      </c>
      <c r="T244" s="12"/>
      <c r="U244" s="12"/>
      <c r="V244" s="12"/>
      <c r="W244" s="12"/>
      <c r="X244" s="12"/>
      <c r="Y244" s="12"/>
      <c r="Z244" s="12"/>
      <c r="AA244" s="12"/>
      <c r="AB244" s="12"/>
      <c r="AC244" s="12"/>
    </row>
    <row r="245">
      <c r="A245" s="5" t="s">
        <v>1252</v>
      </c>
      <c r="B245" s="5" t="s">
        <v>117</v>
      </c>
      <c r="C245" s="6">
        <v>1.0</v>
      </c>
      <c r="D245" s="6">
        <v>1966.0</v>
      </c>
      <c r="E245" s="5" t="str">
        <f>IFERROR(__xludf.DUMMYFUNCTION("TEXTJOIN("", "",TRUE,ARRAYFORMULA(IF(COUNTIFS(capitanes!A:A,SPLIT(D245,"",""),capitanes!B:B,A245)&gt;0,1,0)))"),"0")</f>
        <v>0</v>
      </c>
      <c r="F245" s="5" t="str">
        <f>IFERROR(__xludf.DUMMYFUNCTION("JOIN("", "",ARRAYFORMULA(IFERROR(VLOOKUP(VALUE(TRIM(SPLIT(D245,"",""))), QUERY(goles!A:C,""select A, sum(C) where B='""&amp;A245&amp;""' group by A""),2,FALSE),0)))"),"0")</f>
        <v>0</v>
      </c>
      <c r="G245" s="5" t="s">
        <v>54</v>
      </c>
      <c r="H245" s="5" t="s">
        <v>25</v>
      </c>
      <c r="I245" s="7">
        <v>11389.0</v>
      </c>
      <c r="J245" s="8">
        <v>11507.0</v>
      </c>
      <c r="K245" s="5" t="s">
        <v>35</v>
      </c>
      <c r="L245" s="5" t="s">
        <v>35</v>
      </c>
      <c r="M245" s="5" t="s">
        <v>25</v>
      </c>
      <c r="N245" s="9" t="s">
        <v>36</v>
      </c>
      <c r="O245" s="9" t="s">
        <v>37</v>
      </c>
      <c r="P245" s="10">
        <v>-34.89453803</v>
      </c>
      <c r="Q245" s="10">
        <v>-56.15278107</v>
      </c>
      <c r="R245" s="14" t="s">
        <v>1253</v>
      </c>
      <c r="S245" s="24" t="s">
        <v>1254</v>
      </c>
      <c r="T245" s="12"/>
      <c r="U245" s="12"/>
      <c r="V245" s="12"/>
      <c r="W245" s="12"/>
      <c r="X245" s="12"/>
      <c r="Y245" s="12"/>
      <c r="Z245" s="12"/>
      <c r="AA245" s="12"/>
      <c r="AB245" s="12"/>
      <c r="AC245" s="12"/>
    </row>
    <row r="246">
      <c r="A246" s="5" t="s">
        <v>1255</v>
      </c>
      <c r="B246" s="5" t="s">
        <v>31</v>
      </c>
      <c r="C246" s="6">
        <v>1.0</v>
      </c>
      <c r="D246" s="6">
        <v>1950.0</v>
      </c>
      <c r="E246" s="5" t="str">
        <f>IFERROR(__xludf.DUMMYFUNCTION("TEXTJOIN("", "",TRUE,ARRAYFORMULA(IF(COUNTIFS(capitanes!A:A,SPLIT(D246,"",""),capitanes!B:B,A246)&gt;0,1,0)))"),"0")</f>
        <v>0</v>
      </c>
      <c r="F246" s="5" t="str">
        <f>IFERROR(__xludf.DUMMYFUNCTION("JOIN("", "",ARRAYFORMULA(IFERROR(VLOOKUP(VALUE(TRIM(SPLIT(D246,"",""))), QUERY(goles!A:C,""select A, sum(C) where B='""&amp;A246&amp;""' group by A""),2,FALSE),0)))"),"0")</f>
        <v>0</v>
      </c>
      <c r="G246" s="5" t="s">
        <v>54</v>
      </c>
      <c r="H246" s="5" t="s">
        <v>25</v>
      </c>
      <c r="I246" s="7">
        <v>10361.0</v>
      </c>
      <c r="J246" s="6" t="s">
        <v>1256</v>
      </c>
      <c r="K246" s="5" t="s">
        <v>35</v>
      </c>
      <c r="L246" s="5" t="s">
        <v>35</v>
      </c>
      <c r="M246" s="5" t="s">
        <v>25</v>
      </c>
      <c r="N246" s="9" t="s">
        <v>36</v>
      </c>
      <c r="O246" s="9" t="s">
        <v>37</v>
      </c>
      <c r="P246" s="10">
        <v>-34.89453803</v>
      </c>
      <c r="Q246" s="10">
        <v>-56.15278107</v>
      </c>
      <c r="R246" s="5" t="s">
        <v>1257</v>
      </c>
      <c r="S246" s="24" t="s">
        <v>1258</v>
      </c>
      <c r="T246" s="12"/>
      <c r="U246" s="12"/>
    </row>
    <row r="247">
      <c r="A247" s="5" t="s">
        <v>1259</v>
      </c>
      <c r="B247" s="5" t="s">
        <v>31</v>
      </c>
      <c r="C247" s="6">
        <v>1.0</v>
      </c>
      <c r="D247" s="6">
        <v>1990.0</v>
      </c>
      <c r="E247" s="5" t="str">
        <f>IFERROR(__xludf.DUMMYFUNCTION("TEXTJOIN("", "",TRUE,ARRAYFORMULA(IF(COUNTIFS(capitanes!A:A,SPLIT(D247,"",""),capitanes!B:B,A247)&gt;0,1,0)))"),"0")</f>
        <v>0</v>
      </c>
      <c r="F247" s="5" t="str">
        <f>IFERROR(__xludf.DUMMYFUNCTION("JOIN("", "",ARRAYFORMULA(IFERROR(VLOOKUP(VALUE(TRIM(SPLIT(D247,"",""))), QUERY(goles!A:C,""select A, sum(C) where B='""&amp;A247&amp;""' group by A""),2,FALSE),0)))"),"0")</f>
        <v>0</v>
      </c>
      <c r="G247" s="5" t="s">
        <v>59</v>
      </c>
      <c r="H247" s="5" t="s">
        <v>25</v>
      </c>
      <c r="I247" s="7">
        <v>22788.0</v>
      </c>
      <c r="J247" s="6" t="s">
        <v>1260</v>
      </c>
      <c r="K247" s="5" t="s">
        <v>107</v>
      </c>
      <c r="L247" s="5" t="s">
        <v>108</v>
      </c>
      <c r="M247" s="5" t="s">
        <v>25</v>
      </c>
      <c r="N247" s="9" t="s">
        <v>109</v>
      </c>
      <c r="O247" s="9" t="s">
        <v>110</v>
      </c>
      <c r="P247" s="10">
        <v>-33.25788253</v>
      </c>
      <c r="Q247" s="10">
        <v>-58.02286996</v>
      </c>
      <c r="R247" s="14" t="s">
        <v>1261</v>
      </c>
      <c r="S247" s="24" t="s">
        <v>1262</v>
      </c>
      <c r="T247" s="12"/>
      <c r="U247" s="12"/>
    </row>
    <row r="248">
      <c r="A248" s="5" t="s">
        <v>1263</v>
      </c>
      <c r="B248" s="5" t="s">
        <v>46</v>
      </c>
      <c r="C248" s="6">
        <v>3.0</v>
      </c>
      <c r="D248" s="5" t="s">
        <v>1264</v>
      </c>
      <c r="E248" s="5" t="str">
        <f>IFERROR(__xludf.DUMMYFUNCTION("TEXTJOIN("", "",TRUE,ARRAYFORMULA(IF(COUNTIFS(capitanes!A:A,SPLIT(D248,"",""),capitanes!B:B,A248)&gt;0,1,0)))"),"0, 1, 0")</f>
        <v>0, 1, 0</v>
      </c>
      <c r="F248" s="5" t="str">
        <f>IFERROR(__xludf.DUMMYFUNCTION("JOIN("", "",ARRAYFORMULA(IFERROR(VLOOKUP(VALUE(TRIM(SPLIT(D248,"",""))), QUERY(goles!A:C,""select A, sum(C) where B='""&amp;A248&amp;""' group by A""),2,FALSE),0)))"),"0, 0, 0")</f>
        <v>0, 0, 0</v>
      </c>
      <c r="G248" s="5" t="s">
        <v>1265</v>
      </c>
      <c r="H248" s="5" t="s">
        <v>663</v>
      </c>
      <c r="I248" s="7">
        <v>10240.0</v>
      </c>
      <c r="J248" s="6" t="s">
        <v>1266</v>
      </c>
      <c r="K248" s="5" t="s">
        <v>35</v>
      </c>
      <c r="L248" s="5" t="s">
        <v>35</v>
      </c>
      <c r="M248" s="5" t="s">
        <v>25</v>
      </c>
      <c r="N248" s="9" t="s">
        <v>36</v>
      </c>
      <c r="O248" s="9" t="s">
        <v>37</v>
      </c>
      <c r="P248" s="10">
        <v>-34.89453803</v>
      </c>
      <c r="Q248" s="10">
        <v>-56.15278107</v>
      </c>
      <c r="R248" s="5" t="s">
        <v>1267</v>
      </c>
      <c r="S248" s="14" t="s">
        <v>1268</v>
      </c>
      <c r="T248" s="12"/>
      <c r="U248" s="12"/>
    </row>
    <row r="249">
      <c r="A249" s="5" t="s">
        <v>1269</v>
      </c>
      <c r="B249" s="5" t="s">
        <v>20</v>
      </c>
      <c r="C249" s="6">
        <v>1.0</v>
      </c>
      <c r="D249" s="6">
        <v>1986.0</v>
      </c>
      <c r="E249" s="5" t="str">
        <f>IFERROR(__xludf.DUMMYFUNCTION("TEXTJOIN("", "",TRUE,ARRAYFORMULA(IF(COUNTIFS(capitanes!A:A,SPLIT(D249,"",""),capitanes!B:B,A249)&gt;0,1,0)))"),"0")</f>
        <v>0</v>
      </c>
      <c r="F249" s="5" t="str">
        <f>IFERROR(__xludf.DUMMYFUNCTION("JOIN("", "",ARRAYFORMULA(IFERROR(VLOOKUP(VALUE(TRIM(SPLIT(D249,"",""))), QUERY(goles!A:C,""select A, sum(C) where B='""&amp;A249&amp;""' group by A""),2,FALSE),0)))"),"0")</f>
        <v>0</v>
      </c>
      <c r="G249" s="5" t="s">
        <v>1270</v>
      </c>
      <c r="H249" s="5" t="s">
        <v>97</v>
      </c>
      <c r="I249" s="7">
        <v>21762.0</v>
      </c>
      <c r="J249" s="6" t="s">
        <v>1271</v>
      </c>
      <c r="K249" s="5" t="s">
        <v>1272</v>
      </c>
      <c r="L249" s="5" t="s">
        <v>24</v>
      </c>
      <c r="M249" s="5" t="s">
        <v>25</v>
      </c>
      <c r="N249" s="9" t="s">
        <v>1273</v>
      </c>
      <c r="O249" s="9" t="s">
        <v>1274</v>
      </c>
      <c r="P249" s="10">
        <v>-34.60730985</v>
      </c>
      <c r="Q249" s="10">
        <v>-56.3590677</v>
      </c>
      <c r="R249" s="14" t="s">
        <v>1275</v>
      </c>
      <c r="S249" s="14" t="s">
        <v>1276</v>
      </c>
      <c r="T249" s="12"/>
      <c r="U249" s="12"/>
    </row>
    <row r="250">
      <c r="A250" s="5" t="s">
        <v>1277</v>
      </c>
      <c r="B250" s="5" t="s">
        <v>117</v>
      </c>
      <c r="C250" s="6">
        <v>1.0</v>
      </c>
      <c r="D250" s="6">
        <v>1930.0</v>
      </c>
      <c r="E250" s="5" t="str">
        <f>IFERROR(__xludf.DUMMYFUNCTION("TEXTJOIN("", "",TRUE,ARRAYFORMULA(IF(COUNTIFS(capitanes!A:A,SPLIT(D250,"",""),capitanes!B:B,A250)&gt;0,1,0)))"),"0")</f>
        <v>0</v>
      </c>
      <c r="F250" s="5" t="str">
        <f>IFERROR(__xludf.DUMMYFUNCTION("JOIN("", "",ARRAYFORMULA(IFERROR(VLOOKUP(VALUE(TRIM(SPLIT(D250,"",""))), QUERY(goles!A:C,""select A, sum(C) where B='""&amp;A250&amp;""' group by A""),2,FALSE),0)))"),"0")</f>
        <v>0</v>
      </c>
      <c r="G250" s="5" t="s">
        <v>54</v>
      </c>
      <c r="H250" s="5" t="s">
        <v>25</v>
      </c>
      <c r="I250" s="7">
        <v>1466.0</v>
      </c>
      <c r="J250" s="8">
        <v>1583.0</v>
      </c>
      <c r="K250" s="5" t="s">
        <v>35</v>
      </c>
      <c r="L250" s="5" t="s">
        <v>35</v>
      </c>
      <c r="M250" s="5" t="s">
        <v>25</v>
      </c>
      <c r="N250" s="9" t="s">
        <v>36</v>
      </c>
      <c r="O250" s="9" t="s">
        <v>37</v>
      </c>
      <c r="P250" s="10">
        <v>-34.89453803</v>
      </c>
      <c r="Q250" s="10">
        <v>-56.15278107</v>
      </c>
      <c r="R250" s="14" t="s">
        <v>1278</v>
      </c>
      <c r="S250" s="24" t="s">
        <v>1279</v>
      </c>
      <c r="T250" s="12"/>
      <c r="U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32"/>
      <c r="O251" s="32"/>
      <c r="P251" s="12"/>
      <c r="Q251" s="12"/>
      <c r="R251" s="12"/>
      <c r="S251" s="12"/>
      <c r="T251" s="12"/>
      <c r="U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32"/>
      <c r="O252" s="32"/>
      <c r="P252" s="12"/>
      <c r="Q252" s="12"/>
      <c r="R252" s="12"/>
      <c r="S252" s="12"/>
      <c r="T252" s="12"/>
      <c r="U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32"/>
      <c r="O253" s="32"/>
      <c r="P253" s="12"/>
      <c r="Q253" s="12"/>
      <c r="R253" s="12"/>
      <c r="S253" s="12"/>
      <c r="T253" s="12"/>
      <c r="U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32"/>
      <c r="O254" s="32"/>
      <c r="P254" s="12"/>
      <c r="Q254" s="12"/>
      <c r="R254" s="12"/>
      <c r="S254" s="12"/>
      <c r="T254" s="12"/>
      <c r="U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32"/>
      <c r="O255" s="32"/>
      <c r="P255" s="12"/>
      <c r="Q255" s="12"/>
      <c r="R255" s="12"/>
      <c r="S255" s="12"/>
      <c r="T255" s="12"/>
      <c r="U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32"/>
      <c r="O256" s="32"/>
      <c r="P256" s="12"/>
      <c r="Q256" s="12"/>
      <c r="R256" s="12"/>
      <c r="S256" s="12"/>
      <c r="T256" s="12"/>
      <c r="U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32"/>
      <c r="O257" s="32"/>
      <c r="P257" s="12"/>
      <c r="Q257" s="12"/>
      <c r="R257" s="12"/>
      <c r="S257" s="12"/>
      <c r="T257" s="12"/>
      <c r="U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32"/>
      <c r="O258" s="32"/>
      <c r="P258" s="12"/>
      <c r="Q258" s="12"/>
      <c r="R258" s="12"/>
      <c r="S258" s="12"/>
      <c r="T258" s="12"/>
      <c r="U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32"/>
      <c r="O259" s="32"/>
      <c r="P259" s="12"/>
      <c r="Q259" s="12"/>
      <c r="R259" s="12"/>
      <c r="S259" s="12"/>
      <c r="T259" s="12"/>
      <c r="U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32"/>
      <c r="O260" s="32"/>
      <c r="P260" s="12"/>
      <c r="Q260" s="12"/>
      <c r="R260" s="12"/>
      <c r="S260" s="12"/>
      <c r="T260" s="12"/>
      <c r="U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32"/>
      <c r="O261" s="32"/>
      <c r="P261" s="12"/>
      <c r="Q261" s="12"/>
      <c r="R261" s="12"/>
      <c r="S261" s="12"/>
      <c r="T261" s="12"/>
      <c r="U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32"/>
      <c r="O262" s="32"/>
      <c r="P262" s="12"/>
      <c r="Q262" s="12"/>
      <c r="R262" s="12"/>
      <c r="S262" s="12"/>
      <c r="T262" s="12"/>
      <c r="U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32"/>
      <c r="O263" s="32"/>
      <c r="P263" s="12"/>
      <c r="Q263" s="12"/>
      <c r="R263" s="12"/>
      <c r="S263" s="12"/>
      <c r="T263" s="12"/>
      <c r="U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32"/>
      <c r="O264" s="32"/>
      <c r="P264" s="12"/>
      <c r="Q264" s="12"/>
      <c r="R264" s="12"/>
      <c r="S264" s="12"/>
      <c r="T264" s="12"/>
      <c r="U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32"/>
      <c r="O265" s="32"/>
      <c r="P265" s="12"/>
      <c r="Q265" s="12"/>
      <c r="R265" s="12"/>
      <c r="S265" s="12"/>
      <c r="T265" s="12"/>
      <c r="U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32"/>
      <c r="O266" s="32"/>
      <c r="P266" s="12"/>
      <c r="Q266" s="12"/>
      <c r="R266" s="12"/>
      <c r="S266" s="12"/>
      <c r="T266" s="12"/>
      <c r="U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32"/>
      <c r="O267" s="32"/>
      <c r="P267" s="12"/>
      <c r="Q267" s="12"/>
      <c r="R267" s="12"/>
      <c r="S267" s="12"/>
      <c r="T267" s="12"/>
      <c r="U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32"/>
      <c r="O268" s="32"/>
      <c r="P268" s="12"/>
      <c r="Q268" s="12"/>
      <c r="R268" s="12"/>
      <c r="S268" s="12"/>
      <c r="T268" s="12"/>
      <c r="U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32"/>
      <c r="O269" s="32"/>
      <c r="P269" s="12"/>
      <c r="Q269" s="12"/>
      <c r="R269" s="12"/>
      <c r="S269" s="12"/>
      <c r="T269" s="12"/>
      <c r="U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32"/>
      <c r="O270" s="32"/>
      <c r="P270" s="12"/>
      <c r="Q270" s="12"/>
      <c r="R270" s="12"/>
      <c r="S270" s="12"/>
      <c r="T270" s="12"/>
      <c r="U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32"/>
      <c r="O271" s="32"/>
      <c r="P271" s="12"/>
      <c r="Q271" s="12"/>
      <c r="R271" s="12"/>
      <c r="S271" s="12"/>
      <c r="T271" s="12"/>
      <c r="U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32"/>
      <c r="O272" s="32"/>
      <c r="P272" s="12"/>
      <c r="Q272" s="12"/>
      <c r="R272" s="12"/>
      <c r="S272" s="12"/>
      <c r="T272" s="12"/>
      <c r="U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32"/>
      <c r="O273" s="32"/>
      <c r="P273" s="12"/>
      <c r="Q273" s="12"/>
      <c r="R273" s="12"/>
      <c r="S273" s="12"/>
      <c r="T273" s="12"/>
      <c r="U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32"/>
      <c r="O274" s="32"/>
      <c r="P274" s="12"/>
      <c r="Q274" s="12"/>
      <c r="R274" s="12"/>
      <c r="S274" s="12"/>
      <c r="T274" s="12"/>
      <c r="U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32"/>
      <c r="O275" s="32"/>
      <c r="P275" s="12"/>
      <c r="Q275" s="12"/>
      <c r="R275" s="12"/>
      <c r="S275" s="12"/>
      <c r="T275" s="12"/>
      <c r="U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32"/>
      <c r="O276" s="32"/>
      <c r="P276" s="12"/>
      <c r="Q276" s="12"/>
      <c r="R276" s="12"/>
      <c r="S276" s="12"/>
      <c r="T276" s="12"/>
      <c r="U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32"/>
      <c r="O277" s="32"/>
      <c r="P277" s="12"/>
      <c r="Q277" s="12"/>
      <c r="R277" s="12"/>
      <c r="S277" s="12"/>
      <c r="T277" s="12"/>
      <c r="U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32"/>
      <c r="O278" s="32"/>
      <c r="P278" s="12"/>
      <c r="Q278" s="12"/>
      <c r="R278" s="12"/>
      <c r="S278" s="12"/>
      <c r="T278" s="12"/>
      <c r="U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32"/>
      <c r="O279" s="32"/>
      <c r="P279" s="12"/>
      <c r="Q279" s="12"/>
      <c r="R279" s="12"/>
      <c r="S279" s="12"/>
      <c r="T279" s="12"/>
      <c r="U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32"/>
      <c r="O280" s="32"/>
      <c r="P280" s="12"/>
      <c r="Q280" s="12"/>
      <c r="R280" s="12"/>
      <c r="S280" s="12"/>
      <c r="T280" s="12"/>
      <c r="U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32"/>
      <c r="O281" s="32"/>
      <c r="P281" s="12"/>
      <c r="Q281" s="12"/>
      <c r="R281" s="12"/>
      <c r="S281" s="12"/>
      <c r="T281" s="12"/>
      <c r="U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32"/>
      <c r="O282" s="32"/>
      <c r="P282" s="12"/>
      <c r="Q282" s="12"/>
      <c r="R282" s="12"/>
      <c r="S282" s="12"/>
      <c r="T282" s="12"/>
      <c r="U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32"/>
      <c r="O283" s="32"/>
      <c r="P283" s="12"/>
      <c r="Q283" s="12"/>
      <c r="R283" s="12"/>
      <c r="S283" s="12"/>
      <c r="T283" s="12"/>
      <c r="U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32"/>
      <c r="O284" s="32"/>
      <c r="P284" s="12"/>
      <c r="Q284" s="12"/>
      <c r="R284" s="12"/>
      <c r="S284" s="12"/>
      <c r="T284" s="12"/>
      <c r="U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32"/>
      <c r="O285" s="32"/>
      <c r="P285" s="12"/>
      <c r="Q285" s="12"/>
      <c r="R285" s="12"/>
      <c r="S285" s="12"/>
      <c r="T285" s="12"/>
      <c r="U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32"/>
      <c r="O286" s="32"/>
      <c r="P286" s="12"/>
      <c r="Q286" s="12"/>
      <c r="R286" s="12"/>
      <c r="S286" s="12"/>
      <c r="T286" s="12"/>
      <c r="U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32"/>
      <c r="O287" s="32"/>
      <c r="P287" s="12"/>
      <c r="Q287" s="12"/>
      <c r="R287" s="12"/>
      <c r="S287" s="12"/>
      <c r="T287" s="12"/>
      <c r="U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32"/>
      <c r="O288" s="32"/>
      <c r="P288" s="12"/>
      <c r="Q288" s="12"/>
      <c r="R288" s="12"/>
      <c r="S288" s="12"/>
      <c r="T288" s="12"/>
      <c r="U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32"/>
      <c r="O289" s="32"/>
      <c r="P289" s="12"/>
      <c r="Q289" s="12"/>
      <c r="R289" s="12"/>
      <c r="S289" s="12"/>
      <c r="T289" s="12"/>
      <c r="U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32"/>
      <c r="O290" s="32"/>
      <c r="P290" s="12"/>
      <c r="Q290" s="12"/>
      <c r="R290" s="12"/>
      <c r="S290" s="12"/>
      <c r="T290" s="12"/>
      <c r="U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32"/>
      <c r="O291" s="32"/>
      <c r="P291" s="12"/>
      <c r="Q291" s="12"/>
      <c r="R291" s="12"/>
      <c r="S291" s="12"/>
      <c r="T291" s="12"/>
      <c r="U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32"/>
      <c r="O292" s="32"/>
      <c r="P292" s="12"/>
      <c r="Q292" s="12"/>
      <c r="R292" s="12"/>
      <c r="S292" s="12"/>
      <c r="T292" s="12"/>
      <c r="U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32"/>
      <c r="O293" s="32"/>
      <c r="P293" s="12"/>
      <c r="Q293" s="12"/>
      <c r="R293" s="12"/>
      <c r="S293" s="12"/>
      <c r="T293" s="12"/>
      <c r="U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32"/>
      <c r="O294" s="32"/>
      <c r="P294" s="12"/>
      <c r="Q294" s="12"/>
      <c r="R294" s="12"/>
      <c r="S294" s="12"/>
      <c r="T294" s="12"/>
      <c r="U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32"/>
      <c r="O295" s="32"/>
      <c r="P295" s="12"/>
      <c r="Q295" s="12"/>
      <c r="R295" s="12"/>
      <c r="S295" s="12"/>
      <c r="T295" s="12"/>
      <c r="U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32"/>
      <c r="O296" s="32"/>
      <c r="P296" s="12"/>
      <c r="Q296" s="12"/>
      <c r="R296" s="12"/>
      <c r="S296" s="12"/>
      <c r="T296" s="12"/>
      <c r="U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32"/>
      <c r="O297" s="32"/>
      <c r="P297" s="12"/>
      <c r="Q297" s="12"/>
      <c r="R297" s="12"/>
      <c r="S297" s="12"/>
      <c r="T297" s="12"/>
      <c r="U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32"/>
      <c r="O298" s="32"/>
      <c r="P298" s="12"/>
      <c r="Q298" s="12"/>
      <c r="R298" s="12"/>
      <c r="S298" s="12"/>
      <c r="T298" s="12"/>
      <c r="U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32"/>
      <c r="O299" s="32"/>
      <c r="P299" s="12"/>
      <c r="Q299" s="12"/>
      <c r="R299" s="12"/>
      <c r="S299" s="12"/>
      <c r="T299" s="12"/>
      <c r="U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32"/>
      <c r="O300" s="32"/>
      <c r="P300" s="12"/>
      <c r="Q300" s="12"/>
      <c r="R300" s="12"/>
      <c r="S300" s="12"/>
      <c r="T300" s="12"/>
      <c r="U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32"/>
      <c r="O301" s="32"/>
      <c r="P301" s="12"/>
      <c r="Q301" s="12"/>
      <c r="R301" s="12"/>
      <c r="S301" s="12"/>
      <c r="T301" s="12"/>
      <c r="U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32"/>
      <c r="O302" s="32"/>
      <c r="P302" s="12"/>
      <c r="Q302" s="12"/>
      <c r="R302" s="12"/>
      <c r="S302" s="12"/>
      <c r="T302" s="12"/>
      <c r="U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32"/>
      <c r="O303" s="32"/>
      <c r="P303" s="12"/>
      <c r="Q303" s="12"/>
      <c r="R303" s="12"/>
      <c r="S303" s="12"/>
      <c r="T303" s="12"/>
      <c r="U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32"/>
      <c r="O304" s="32"/>
      <c r="P304" s="12"/>
      <c r="Q304" s="12"/>
      <c r="R304" s="12"/>
      <c r="S304" s="12"/>
      <c r="T304" s="12"/>
      <c r="U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32"/>
      <c r="O305" s="32"/>
      <c r="P305" s="12"/>
      <c r="Q305" s="12"/>
      <c r="R305" s="12"/>
      <c r="S305" s="12"/>
      <c r="T305" s="12"/>
      <c r="U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32"/>
      <c r="O306" s="32"/>
      <c r="P306" s="12"/>
      <c r="Q306" s="12"/>
      <c r="R306" s="12"/>
      <c r="S306" s="12"/>
      <c r="T306" s="12"/>
      <c r="U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32"/>
      <c r="O307" s="32"/>
      <c r="P307" s="12"/>
      <c r="Q307" s="12"/>
      <c r="R307" s="12"/>
      <c r="S307" s="12"/>
      <c r="T307" s="12"/>
      <c r="U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32"/>
      <c r="O308" s="32"/>
      <c r="P308" s="12"/>
      <c r="Q308" s="12"/>
      <c r="R308" s="12"/>
      <c r="S308" s="12"/>
      <c r="T308" s="12"/>
      <c r="U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32"/>
      <c r="O309" s="32"/>
      <c r="P309" s="12"/>
      <c r="Q309" s="12"/>
      <c r="R309" s="12"/>
      <c r="S309" s="12"/>
      <c r="T309" s="12"/>
      <c r="U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32"/>
      <c r="O310" s="32"/>
      <c r="P310" s="12"/>
      <c r="Q310" s="12"/>
      <c r="R310" s="12"/>
      <c r="S310" s="12"/>
      <c r="T310" s="12"/>
      <c r="U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32"/>
      <c r="O311" s="32"/>
      <c r="P311" s="12"/>
      <c r="Q311" s="12"/>
      <c r="R311" s="12"/>
      <c r="S311" s="12"/>
      <c r="T311" s="12"/>
      <c r="U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32"/>
      <c r="O312" s="32"/>
      <c r="P312" s="12"/>
      <c r="Q312" s="12"/>
      <c r="R312" s="12"/>
      <c r="S312" s="12"/>
      <c r="T312" s="12"/>
      <c r="U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32"/>
      <c r="O313" s="32"/>
      <c r="P313" s="12"/>
      <c r="Q313" s="12"/>
      <c r="R313" s="12"/>
      <c r="S313" s="12"/>
      <c r="T313" s="12"/>
      <c r="U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32"/>
      <c r="O314" s="32"/>
      <c r="P314" s="12"/>
      <c r="Q314" s="12"/>
      <c r="R314" s="12"/>
      <c r="S314" s="12"/>
      <c r="T314" s="12"/>
      <c r="U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32"/>
      <c r="O315" s="32"/>
      <c r="P315" s="12"/>
      <c r="Q315" s="12"/>
      <c r="R315" s="12"/>
      <c r="S315" s="12"/>
      <c r="T315" s="12"/>
      <c r="U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32"/>
      <c r="O316" s="32"/>
      <c r="P316" s="12"/>
      <c r="Q316" s="12"/>
      <c r="R316" s="12"/>
      <c r="S316" s="12"/>
      <c r="T316" s="12"/>
      <c r="U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32"/>
      <c r="O317" s="32"/>
      <c r="P317" s="12"/>
      <c r="Q317" s="12"/>
      <c r="R317" s="12"/>
      <c r="S317" s="12"/>
      <c r="T317" s="12"/>
      <c r="U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32"/>
      <c r="O318" s="32"/>
      <c r="P318" s="12"/>
      <c r="Q318" s="12"/>
      <c r="R318" s="12"/>
      <c r="S318" s="12"/>
      <c r="T318" s="12"/>
      <c r="U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32"/>
      <c r="O319" s="32"/>
      <c r="P319" s="12"/>
      <c r="Q319" s="12"/>
      <c r="R319" s="12"/>
      <c r="S319" s="12"/>
      <c r="T319" s="12"/>
      <c r="U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32"/>
      <c r="O320" s="32"/>
      <c r="P320" s="12"/>
      <c r="Q320" s="12"/>
      <c r="R320" s="12"/>
      <c r="S320" s="12"/>
      <c r="T320" s="12"/>
      <c r="U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32"/>
      <c r="O321" s="32"/>
      <c r="P321" s="12"/>
      <c r="Q321" s="12"/>
      <c r="R321" s="12"/>
      <c r="S321" s="12"/>
      <c r="T321" s="12"/>
      <c r="U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32"/>
      <c r="O322" s="32"/>
      <c r="P322" s="12"/>
      <c r="Q322" s="12"/>
      <c r="R322" s="12"/>
      <c r="S322" s="12"/>
      <c r="T322" s="12"/>
      <c r="U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32"/>
      <c r="O323" s="32"/>
      <c r="P323" s="12"/>
      <c r="Q323" s="12"/>
      <c r="R323" s="12"/>
      <c r="S323" s="12"/>
      <c r="T323" s="12"/>
      <c r="U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32"/>
      <c r="O324" s="32"/>
      <c r="P324" s="12"/>
      <c r="Q324" s="12"/>
      <c r="R324" s="12"/>
      <c r="S324" s="12"/>
      <c r="T324" s="12"/>
      <c r="U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32"/>
      <c r="O325" s="32"/>
      <c r="P325" s="12"/>
      <c r="Q325" s="12"/>
      <c r="R325" s="12"/>
      <c r="S325" s="12"/>
      <c r="T325" s="12"/>
      <c r="U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32"/>
      <c r="O326" s="32"/>
      <c r="P326" s="12"/>
      <c r="Q326" s="12"/>
      <c r="R326" s="12"/>
      <c r="S326" s="12"/>
      <c r="T326" s="12"/>
      <c r="U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32"/>
      <c r="O327" s="32"/>
      <c r="P327" s="12"/>
      <c r="Q327" s="12"/>
      <c r="R327" s="12"/>
      <c r="S327" s="12"/>
      <c r="T327" s="12"/>
      <c r="U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32"/>
      <c r="O328" s="32"/>
      <c r="P328" s="12"/>
      <c r="Q328" s="12"/>
      <c r="R328" s="12"/>
      <c r="S328" s="12"/>
      <c r="T328" s="12"/>
      <c r="U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32"/>
      <c r="O329" s="32"/>
      <c r="P329" s="12"/>
      <c r="Q329" s="12"/>
      <c r="R329" s="12"/>
      <c r="S329" s="12"/>
      <c r="T329" s="12"/>
      <c r="U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32"/>
      <c r="O330" s="32"/>
      <c r="P330" s="12"/>
      <c r="Q330" s="12"/>
      <c r="R330" s="12"/>
      <c r="S330" s="12"/>
      <c r="T330" s="12"/>
      <c r="U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32"/>
      <c r="O331" s="32"/>
      <c r="P331" s="12"/>
      <c r="Q331" s="12"/>
      <c r="R331" s="12"/>
      <c r="S331" s="12"/>
      <c r="T331" s="12"/>
      <c r="U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32"/>
      <c r="O332" s="32"/>
      <c r="P332" s="12"/>
      <c r="Q332" s="12"/>
      <c r="R332" s="12"/>
      <c r="S332" s="12"/>
      <c r="T332" s="12"/>
      <c r="U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32"/>
      <c r="O333" s="32"/>
      <c r="P333" s="12"/>
      <c r="Q333" s="12"/>
      <c r="R333" s="12"/>
      <c r="S333" s="12"/>
      <c r="T333" s="12"/>
      <c r="U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32"/>
      <c r="O334" s="32"/>
      <c r="P334" s="12"/>
      <c r="Q334" s="12"/>
      <c r="R334" s="12"/>
      <c r="S334" s="12"/>
      <c r="T334" s="12"/>
      <c r="U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32"/>
      <c r="O335" s="32"/>
      <c r="P335" s="12"/>
      <c r="Q335" s="12"/>
      <c r="R335" s="12"/>
      <c r="S335" s="12"/>
      <c r="T335" s="12"/>
      <c r="U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32"/>
      <c r="O336" s="32"/>
      <c r="P336" s="12"/>
      <c r="Q336" s="12"/>
      <c r="R336" s="12"/>
      <c r="S336" s="12"/>
      <c r="T336" s="12"/>
      <c r="U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32"/>
      <c r="O337" s="32"/>
      <c r="P337" s="12"/>
      <c r="Q337" s="12"/>
      <c r="R337" s="12"/>
      <c r="S337" s="12"/>
      <c r="T337" s="12"/>
      <c r="U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32"/>
      <c r="O338" s="32"/>
      <c r="P338" s="12"/>
      <c r="Q338" s="12"/>
      <c r="R338" s="12"/>
      <c r="S338" s="12"/>
      <c r="T338" s="12"/>
      <c r="U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32"/>
      <c r="O339" s="32"/>
      <c r="P339" s="12"/>
      <c r="Q339" s="12"/>
      <c r="R339" s="12"/>
      <c r="S339" s="12"/>
      <c r="T339" s="12"/>
      <c r="U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32"/>
      <c r="O340" s="32"/>
      <c r="P340" s="12"/>
      <c r="Q340" s="12"/>
      <c r="R340" s="12"/>
      <c r="S340" s="12"/>
      <c r="T340" s="12"/>
      <c r="U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32"/>
      <c r="O341" s="32"/>
      <c r="P341" s="12"/>
      <c r="Q341" s="12"/>
      <c r="R341" s="12"/>
      <c r="S341" s="12"/>
      <c r="T341" s="12"/>
      <c r="U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32"/>
      <c r="O342" s="32"/>
      <c r="P342" s="12"/>
      <c r="Q342" s="12"/>
      <c r="R342" s="12"/>
      <c r="S342" s="12"/>
      <c r="T342" s="12"/>
      <c r="U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32"/>
      <c r="O343" s="32"/>
      <c r="P343" s="12"/>
      <c r="Q343" s="12"/>
      <c r="R343" s="12"/>
      <c r="S343" s="12"/>
      <c r="T343" s="12"/>
      <c r="U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32"/>
      <c r="O344" s="32"/>
      <c r="P344" s="12"/>
      <c r="Q344" s="12"/>
      <c r="R344" s="12"/>
      <c r="S344" s="12"/>
      <c r="T344" s="12"/>
      <c r="U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32"/>
      <c r="O345" s="32"/>
      <c r="P345" s="12"/>
      <c r="Q345" s="12"/>
      <c r="R345" s="12"/>
      <c r="S345" s="12"/>
      <c r="T345" s="12"/>
      <c r="U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32"/>
      <c r="O346" s="32"/>
      <c r="P346" s="12"/>
      <c r="Q346" s="12"/>
      <c r="R346" s="12"/>
      <c r="S346" s="12"/>
      <c r="T346" s="12"/>
      <c r="U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32"/>
      <c r="O347" s="32"/>
      <c r="P347" s="12"/>
      <c r="Q347" s="12"/>
      <c r="R347" s="12"/>
      <c r="S347" s="12"/>
      <c r="T347" s="12"/>
      <c r="U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32"/>
      <c r="O348" s="32"/>
      <c r="P348" s="12"/>
      <c r="Q348" s="12"/>
      <c r="R348" s="12"/>
      <c r="S348" s="12"/>
      <c r="T348" s="12"/>
      <c r="U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32"/>
      <c r="O349" s="32"/>
      <c r="P349" s="12"/>
      <c r="Q349" s="12"/>
      <c r="R349" s="12"/>
      <c r="S349" s="12"/>
      <c r="T349" s="12"/>
      <c r="U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32"/>
      <c r="O350" s="32"/>
      <c r="P350" s="12"/>
      <c r="Q350" s="12"/>
      <c r="R350" s="12"/>
      <c r="S350" s="12"/>
      <c r="T350" s="12"/>
      <c r="U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32"/>
      <c r="O351" s="32"/>
      <c r="P351" s="12"/>
      <c r="Q351" s="12"/>
      <c r="R351" s="12"/>
      <c r="S351" s="12"/>
      <c r="T351" s="12"/>
      <c r="U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32"/>
      <c r="O352" s="32"/>
      <c r="P352" s="12"/>
      <c r="Q352" s="12"/>
      <c r="R352" s="12"/>
      <c r="S352" s="12"/>
      <c r="T352" s="12"/>
      <c r="U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32"/>
      <c r="O353" s="32"/>
      <c r="P353" s="12"/>
      <c r="Q353" s="12"/>
      <c r="R353" s="12"/>
      <c r="S353" s="12"/>
      <c r="T353" s="12"/>
      <c r="U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32"/>
      <c r="O354" s="32"/>
      <c r="P354" s="12"/>
      <c r="Q354" s="12"/>
      <c r="R354" s="12"/>
      <c r="S354" s="12"/>
      <c r="T354" s="12"/>
      <c r="U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32"/>
      <c r="O355" s="32"/>
      <c r="P355" s="12"/>
      <c r="Q355" s="12"/>
      <c r="R355" s="12"/>
      <c r="S355" s="12"/>
      <c r="T355" s="12"/>
      <c r="U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32"/>
      <c r="O356" s="32"/>
      <c r="P356" s="12"/>
      <c r="Q356" s="12"/>
      <c r="R356" s="12"/>
      <c r="S356" s="12"/>
      <c r="T356" s="12"/>
      <c r="U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32"/>
      <c r="O357" s="32"/>
      <c r="P357" s="12"/>
      <c r="Q357" s="12"/>
      <c r="R357" s="12"/>
      <c r="S357" s="12"/>
      <c r="T357" s="12"/>
      <c r="U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32"/>
      <c r="O358" s="32"/>
      <c r="P358" s="12"/>
      <c r="Q358" s="12"/>
      <c r="R358" s="12"/>
      <c r="S358" s="12"/>
      <c r="T358" s="12"/>
      <c r="U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32"/>
      <c r="O359" s="32"/>
      <c r="P359" s="12"/>
      <c r="Q359" s="12"/>
      <c r="R359" s="12"/>
      <c r="S359" s="12"/>
      <c r="T359" s="12"/>
      <c r="U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32"/>
      <c r="O360" s="32"/>
      <c r="P360" s="12"/>
      <c r="Q360" s="12"/>
      <c r="R360" s="12"/>
      <c r="S360" s="12"/>
      <c r="T360" s="12"/>
      <c r="U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32"/>
      <c r="O361" s="32"/>
      <c r="P361" s="12"/>
      <c r="Q361" s="12"/>
      <c r="R361" s="12"/>
      <c r="S361" s="12"/>
      <c r="T361" s="12"/>
      <c r="U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32"/>
      <c r="O362" s="32"/>
      <c r="P362" s="12"/>
      <c r="Q362" s="12"/>
      <c r="R362" s="12"/>
      <c r="S362" s="12"/>
      <c r="T362" s="12"/>
      <c r="U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32"/>
      <c r="O363" s="32"/>
      <c r="P363" s="12"/>
      <c r="Q363" s="12"/>
      <c r="R363" s="12"/>
      <c r="S363" s="12"/>
      <c r="T363" s="12"/>
      <c r="U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32"/>
      <c r="O364" s="32"/>
      <c r="P364" s="12"/>
      <c r="Q364" s="12"/>
      <c r="R364" s="12"/>
      <c r="S364" s="12"/>
      <c r="T364" s="12"/>
      <c r="U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32"/>
      <c r="O365" s="32"/>
      <c r="P365" s="12"/>
      <c r="Q365" s="12"/>
      <c r="R365" s="12"/>
      <c r="S365" s="12"/>
      <c r="T365" s="12"/>
      <c r="U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32"/>
      <c r="O366" s="32"/>
      <c r="P366" s="12"/>
      <c r="Q366" s="12"/>
      <c r="R366" s="12"/>
      <c r="S366" s="12"/>
      <c r="T366" s="12"/>
      <c r="U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32"/>
      <c r="O367" s="32"/>
      <c r="P367" s="12"/>
      <c r="Q367" s="12"/>
      <c r="R367" s="12"/>
      <c r="S367" s="12"/>
      <c r="T367" s="12"/>
      <c r="U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32"/>
      <c r="O368" s="32"/>
      <c r="P368" s="12"/>
      <c r="Q368" s="12"/>
      <c r="R368" s="12"/>
      <c r="S368" s="12"/>
      <c r="T368" s="12"/>
      <c r="U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32"/>
      <c r="O369" s="32"/>
      <c r="P369" s="12"/>
      <c r="Q369" s="12"/>
      <c r="R369" s="12"/>
      <c r="S369" s="12"/>
      <c r="T369" s="12"/>
      <c r="U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32"/>
      <c r="O370" s="32"/>
      <c r="P370" s="12"/>
      <c r="Q370" s="12"/>
      <c r="R370" s="12"/>
      <c r="S370" s="12"/>
      <c r="T370" s="12"/>
      <c r="U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32"/>
      <c r="O371" s="32"/>
      <c r="P371" s="12"/>
      <c r="Q371" s="12"/>
      <c r="R371" s="12"/>
      <c r="S371" s="12"/>
      <c r="T371" s="12"/>
      <c r="U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32"/>
      <c r="O372" s="32"/>
      <c r="P372" s="12"/>
      <c r="Q372" s="12"/>
      <c r="R372" s="12"/>
      <c r="S372" s="12"/>
      <c r="T372" s="12"/>
      <c r="U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32"/>
      <c r="O373" s="32"/>
      <c r="P373" s="12"/>
      <c r="Q373" s="12"/>
      <c r="R373" s="12"/>
      <c r="S373" s="12"/>
      <c r="T373" s="12"/>
      <c r="U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32"/>
      <c r="O374" s="32"/>
      <c r="P374" s="12"/>
      <c r="Q374" s="12"/>
      <c r="R374" s="12"/>
      <c r="S374" s="12"/>
      <c r="T374" s="12"/>
      <c r="U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32"/>
      <c r="O375" s="32"/>
      <c r="P375" s="12"/>
      <c r="Q375" s="12"/>
      <c r="R375" s="12"/>
      <c r="S375" s="12"/>
      <c r="T375" s="12"/>
      <c r="U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32"/>
      <c r="O376" s="32"/>
      <c r="P376" s="12"/>
      <c r="Q376" s="12"/>
      <c r="R376" s="12"/>
      <c r="S376" s="12"/>
      <c r="T376" s="12"/>
      <c r="U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32"/>
      <c r="O377" s="32"/>
      <c r="P377" s="12"/>
      <c r="Q377" s="12"/>
      <c r="R377" s="12"/>
      <c r="S377" s="12"/>
      <c r="T377" s="12"/>
      <c r="U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32"/>
      <c r="O378" s="32"/>
      <c r="P378" s="12"/>
      <c r="Q378" s="12"/>
      <c r="R378" s="12"/>
      <c r="S378" s="12"/>
      <c r="T378" s="12"/>
      <c r="U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32"/>
      <c r="O379" s="32"/>
      <c r="P379" s="12"/>
      <c r="Q379" s="12"/>
      <c r="R379" s="12"/>
      <c r="S379" s="12"/>
      <c r="T379" s="12"/>
      <c r="U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32"/>
      <c r="O380" s="32"/>
      <c r="P380" s="12"/>
      <c r="Q380" s="12"/>
      <c r="R380" s="12"/>
      <c r="S380" s="12"/>
      <c r="T380" s="12"/>
      <c r="U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32"/>
      <c r="O381" s="32"/>
      <c r="P381" s="12"/>
      <c r="Q381" s="12"/>
      <c r="R381" s="12"/>
      <c r="S381" s="12"/>
      <c r="T381" s="12"/>
      <c r="U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32"/>
      <c r="O382" s="32"/>
      <c r="P382" s="12"/>
      <c r="Q382" s="12"/>
      <c r="R382" s="12"/>
      <c r="S382" s="12"/>
      <c r="T382" s="12"/>
      <c r="U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32"/>
      <c r="O383" s="32"/>
      <c r="P383" s="12"/>
      <c r="Q383" s="12"/>
      <c r="R383" s="12"/>
      <c r="S383" s="12"/>
      <c r="T383" s="12"/>
      <c r="U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32"/>
      <c r="O384" s="32"/>
      <c r="P384" s="12"/>
      <c r="Q384" s="12"/>
      <c r="R384" s="12"/>
      <c r="S384" s="12"/>
      <c r="T384" s="12"/>
      <c r="U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32"/>
      <c r="O385" s="32"/>
      <c r="P385" s="12"/>
      <c r="Q385" s="12"/>
      <c r="R385" s="12"/>
      <c r="S385" s="12"/>
      <c r="T385" s="12"/>
      <c r="U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32"/>
      <c r="O386" s="32"/>
      <c r="P386" s="12"/>
      <c r="Q386" s="12"/>
      <c r="R386" s="12"/>
      <c r="S386" s="12"/>
      <c r="T386" s="12"/>
      <c r="U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32"/>
      <c r="O387" s="32"/>
      <c r="P387" s="12"/>
      <c r="Q387" s="12"/>
      <c r="R387" s="12"/>
      <c r="S387" s="12"/>
      <c r="T387" s="12"/>
      <c r="U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32"/>
      <c r="O388" s="32"/>
      <c r="P388" s="12"/>
      <c r="Q388" s="12"/>
      <c r="R388" s="12"/>
      <c r="S388" s="12"/>
      <c r="T388" s="12"/>
      <c r="U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32"/>
      <c r="O389" s="32"/>
      <c r="P389" s="12"/>
      <c r="Q389" s="12"/>
      <c r="R389" s="12"/>
      <c r="S389" s="12"/>
      <c r="T389" s="12"/>
      <c r="U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32"/>
      <c r="O390" s="32"/>
      <c r="P390" s="12"/>
      <c r="Q390" s="12"/>
      <c r="R390" s="12"/>
      <c r="S390" s="12"/>
      <c r="T390" s="12"/>
      <c r="U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32"/>
      <c r="O391" s="32"/>
      <c r="P391" s="12"/>
      <c r="Q391" s="12"/>
      <c r="R391" s="12"/>
      <c r="S391" s="12"/>
      <c r="T391" s="12"/>
      <c r="U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32"/>
      <c r="O392" s="32"/>
      <c r="P392" s="12"/>
      <c r="Q392" s="12"/>
      <c r="R392" s="12"/>
      <c r="S392" s="12"/>
      <c r="T392" s="12"/>
      <c r="U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32"/>
      <c r="O393" s="32"/>
      <c r="P393" s="12"/>
      <c r="Q393" s="12"/>
      <c r="R393" s="12"/>
      <c r="S393" s="12"/>
      <c r="T393" s="12"/>
      <c r="U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32"/>
      <c r="O394" s="32"/>
      <c r="P394" s="12"/>
      <c r="Q394" s="12"/>
      <c r="R394" s="12"/>
      <c r="S394" s="12"/>
      <c r="T394" s="12"/>
      <c r="U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32"/>
      <c r="O395" s="32"/>
      <c r="P395" s="12"/>
      <c r="Q395" s="12"/>
      <c r="R395" s="12"/>
      <c r="S395" s="12"/>
      <c r="T395" s="12"/>
      <c r="U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32"/>
      <c r="O396" s="32"/>
      <c r="P396" s="12"/>
      <c r="Q396" s="12"/>
      <c r="R396" s="12"/>
      <c r="S396" s="12"/>
      <c r="T396" s="12"/>
      <c r="U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32"/>
      <c r="O397" s="32"/>
      <c r="P397" s="12"/>
      <c r="Q397" s="12"/>
      <c r="R397" s="12"/>
      <c r="S397" s="12"/>
      <c r="T397" s="12"/>
      <c r="U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32"/>
      <c r="O398" s="32"/>
      <c r="P398" s="12"/>
      <c r="Q398" s="12"/>
      <c r="R398" s="12"/>
      <c r="S398" s="12"/>
      <c r="T398" s="12"/>
      <c r="U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32"/>
      <c r="O399" s="32"/>
      <c r="P399" s="12"/>
      <c r="Q399" s="12"/>
      <c r="R399" s="12"/>
      <c r="S399" s="12"/>
      <c r="T399" s="12"/>
      <c r="U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32"/>
      <c r="O400" s="32"/>
      <c r="P400" s="12"/>
      <c r="Q400" s="12"/>
      <c r="R400" s="12"/>
      <c r="S400" s="12"/>
      <c r="T400" s="12"/>
      <c r="U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32"/>
      <c r="O401" s="32"/>
      <c r="P401" s="12"/>
      <c r="Q401" s="12"/>
      <c r="R401" s="12"/>
      <c r="S401" s="12"/>
      <c r="T401" s="12"/>
      <c r="U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32"/>
      <c r="O402" s="32"/>
      <c r="P402" s="12"/>
      <c r="Q402" s="12"/>
      <c r="R402" s="12"/>
      <c r="S402" s="12"/>
      <c r="T402" s="12"/>
      <c r="U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32"/>
      <c r="O403" s="32"/>
      <c r="P403" s="12"/>
      <c r="Q403" s="12"/>
      <c r="R403" s="12"/>
      <c r="S403" s="12"/>
      <c r="T403" s="12"/>
      <c r="U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32"/>
      <c r="O404" s="32"/>
      <c r="P404" s="12"/>
      <c r="Q404" s="12"/>
      <c r="R404" s="12"/>
      <c r="S404" s="12"/>
      <c r="T404" s="12"/>
      <c r="U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32"/>
      <c r="O405" s="32"/>
      <c r="P405" s="12"/>
      <c r="Q405" s="12"/>
      <c r="R405" s="12"/>
      <c r="S405" s="12"/>
      <c r="T405" s="12"/>
      <c r="U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32"/>
      <c r="O406" s="32"/>
      <c r="P406" s="12"/>
      <c r="Q406" s="12"/>
      <c r="R406" s="12"/>
      <c r="S406" s="12"/>
      <c r="T406" s="12"/>
      <c r="U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32"/>
      <c r="O407" s="32"/>
      <c r="P407" s="12"/>
      <c r="Q407" s="12"/>
      <c r="R407" s="12"/>
      <c r="S407" s="12"/>
      <c r="T407" s="12"/>
      <c r="U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32"/>
      <c r="O408" s="32"/>
      <c r="P408" s="12"/>
      <c r="Q408" s="12"/>
      <c r="R408" s="12"/>
      <c r="S408" s="12"/>
      <c r="T408" s="12"/>
      <c r="U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32"/>
      <c r="O409" s="32"/>
      <c r="P409" s="12"/>
      <c r="Q409" s="12"/>
      <c r="R409" s="12"/>
      <c r="S409" s="12"/>
      <c r="T409" s="12"/>
      <c r="U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32"/>
      <c r="O410" s="32"/>
      <c r="P410" s="12"/>
      <c r="Q410" s="12"/>
      <c r="R410" s="12"/>
      <c r="S410" s="12"/>
      <c r="T410" s="12"/>
      <c r="U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32"/>
      <c r="O411" s="32"/>
      <c r="P411" s="12"/>
      <c r="Q411" s="12"/>
      <c r="R411" s="12"/>
      <c r="S411" s="12"/>
      <c r="T411" s="12"/>
      <c r="U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32"/>
      <c r="O412" s="32"/>
      <c r="P412" s="12"/>
      <c r="Q412" s="12"/>
      <c r="R412" s="12"/>
      <c r="S412" s="12"/>
      <c r="T412" s="12"/>
      <c r="U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32"/>
      <c r="O413" s="32"/>
      <c r="P413" s="12"/>
      <c r="Q413" s="12"/>
      <c r="R413" s="12"/>
      <c r="S413" s="12"/>
      <c r="T413" s="12"/>
      <c r="U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32"/>
      <c r="O414" s="32"/>
      <c r="P414" s="12"/>
      <c r="Q414" s="12"/>
      <c r="R414" s="12"/>
      <c r="S414" s="12"/>
      <c r="T414" s="12"/>
      <c r="U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32"/>
      <c r="O415" s="32"/>
      <c r="P415" s="12"/>
      <c r="Q415" s="12"/>
      <c r="R415" s="12"/>
      <c r="S415" s="12"/>
      <c r="T415" s="12"/>
      <c r="U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32"/>
      <c r="O416" s="32"/>
      <c r="P416" s="12"/>
      <c r="Q416" s="12"/>
      <c r="R416" s="12"/>
      <c r="S416" s="12"/>
      <c r="T416" s="12"/>
      <c r="U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32"/>
      <c r="O417" s="32"/>
      <c r="P417" s="12"/>
      <c r="Q417" s="12"/>
      <c r="R417" s="12"/>
      <c r="S417" s="12"/>
      <c r="T417" s="12"/>
      <c r="U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32"/>
      <c r="O418" s="32"/>
      <c r="P418" s="12"/>
      <c r="Q418" s="12"/>
      <c r="R418" s="12"/>
      <c r="S418" s="12"/>
      <c r="T418" s="12"/>
      <c r="U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32"/>
      <c r="O419" s="32"/>
      <c r="P419" s="12"/>
      <c r="Q419" s="12"/>
      <c r="R419" s="12"/>
      <c r="S419" s="12"/>
      <c r="T419" s="12"/>
      <c r="U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32"/>
      <c r="O420" s="32"/>
      <c r="P420" s="12"/>
      <c r="Q420" s="12"/>
      <c r="R420" s="12"/>
      <c r="S420" s="12"/>
      <c r="T420" s="12"/>
      <c r="U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32"/>
      <c r="O421" s="32"/>
      <c r="P421" s="12"/>
      <c r="Q421" s="12"/>
      <c r="R421" s="12"/>
      <c r="S421" s="12"/>
      <c r="T421" s="12"/>
      <c r="U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32"/>
      <c r="O422" s="32"/>
      <c r="P422" s="12"/>
      <c r="Q422" s="12"/>
      <c r="R422" s="12"/>
      <c r="S422" s="12"/>
      <c r="T422" s="12"/>
      <c r="U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32"/>
      <c r="O423" s="32"/>
      <c r="P423" s="12"/>
      <c r="Q423" s="12"/>
      <c r="R423" s="12"/>
      <c r="S423" s="12"/>
      <c r="T423" s="12"/>
      <c r="U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32"/>
      <c r="O424" s="32"/>
      <c r="P424" s="12"/>
      <c r="Q424" s="12"/>
      <c r="R424" s="12"/>
      <c r="S424" s="12"/>
      <c r="T424" s="12"/>
      <c r="U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32"/>
      <c r="O425" s="32"/>
      <c r="P425" s="12"/>
      <c r="Q425" s="12"/>
      <c r="R425" s="12"/>
      <c r="S425" s="12"/>
      <c r="T425" s="12"/>
      <c r="U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32"/>
      <c r="O426" s="32"/>
      <c r="P426" s="12"/>
      <c r="Q426" s="12"/>
      <c r="R426" s="12"/>
      <c r="S426" s="12"/>
      <c r="T426" s="12"/>
      <c r="U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32"/>
      <c r="O427" s="32"/>
      <c r="P427" s="12"/>
      <c r="Q427" s="12"/>
      <c r="R427" s="12"/>
      <c r="S427" s="12"/>
      <c r="T427" s="12"/>
      <c r="U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32"/>
      <c r="O428" s="32"/>
      <c r="P428" s="12"/>
      <c r="Q428" s="12"/>
      <c r="R428" s="12"/>
      <c r="S428" s="12"/>
      <c r="T428" s="12"/>
      <c r="U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32"/>
      <c r="O429" s="32"/>
      <c r="P429" s="12"/>
      <c r="Q429" s="12"/>
      <c r="R429" s="12"/>
      <c r="S429" s="12"/>
      <c r="T429" s="12"/>
      <c r="U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32"/>
      <c r="O430" s="32"/>
      <c r="P430" s="12"/>
      <c r="Q430" s="12"/>
      <c r="R430" s="12"/>
      <c r="S430" s="12"/>
      <c r="T430" s="12"/>
      <c r="U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32"/>
      <c r="O431" s="32"/>
      <c r="P431" s="12"/>
      <c r="Q431" s="12"/>
      <c r="R431" s="12"/>
      <c r="S431" s="12"/>
      <c r="T431" s="12"/>
      <c r="U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32"/>
      <c r="O432" s="32"/>
      <c r="P432" s="12"/>
      <c r="Q432" s="12"/>
      <c r="R432" s="12"/>
      <c r="S432" s="12"/>
      <c r="T432" s="12"/>
      <c r="U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32"/>
      <c r="O433" s="32"/>
      <c r="P433" s="12"/>
      <c r="Q433" s="12"/>
      <c r="R433" s="12"/>
      <c r="S433" s="12"/>
      <c r="T433" s="12"/>
      <c r="U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32"/>
      <c r="O434" s="32"/>
      <c r="P434" s="12"/>
      <c r="Q434" s="12"/>
      <c r="R434" s="12"/>
      <c r="S434" s="12"/>
      <c r="T434" s="12"/>
      <c r="U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32"/>
      <c r="O435" s="32"/>
      <c r="P435" s="12"/>
      <c r="Q435" s="12"/>
      <c r="R435" s="12"/>
      <c r="S435" s="12"/>
      <c r="T435" s="12"/>
      <c r="U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32"/>
      <c r="O436" s="32"/>
      <c r="P436" s="12"/>
      <c r="Q436" s="12"/>
      <c r="R436" s="12"/>
      <c r="S436" s="12"/>
      <c r="T436" s="12"/>
      <c r="U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32"/>
      <c r="O437" s="32"/>
      <c r="P437" s="12"/>
      <c r="Q437" s="12"/>
      <c r="R437" s="12"/>
      <c r="S437" s="12"/>
      <c r="T437" s="12"/>
      <c r="U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32"/>
      <c r="O438" s="32"/>
      <c r="P438" s="12"/>
      <c r="Q438" s="12"/>
      <c r="R438" s="12"/>
      <c r="S438" s="12"/>
      <c r="T438" s="12"/>
      <c r="U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32"/>
      <c r="O439" s="32"/>
      <c r="P439" s="12"/>
      <c r="Q439" s="12"/>
      <c r="R439" s="12"/>
      <c r="S439" s="12"/>
      <c r="T439" s="12"/>
      <c r="U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32"/>
      <c r="O440" s="32"/>
      <c r="P440" s="12"/>
      <c r="Q440" s="12"/>
      <c r="R440" s="12"/>
      <c r="S440" s="12"/>
      <c r="T440" s="12"/>
      <c r="U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32"/>
      <c r="O441" s="32"/>
      <c r="P441" s="12"/>
      <c r="Q441" s="12"/>
      <c r="R441" s="12"/>
      <c r="S441" s="12"/>
      <c r="T441" s="12"/>
      <c r="U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32"/>
      <c r="O442" s="32"/>
      <c r="P442" s="12"/>
      <c r="Q442" s="12"/>
      <c r="R442" s="12"/>
      <c r="S442" s="12"/>
      <c r="T442" s="12"/>
      <c r="U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32"/>
      <c r="O443" s="32"/>
      <c r="P443" s="12"/>
      <c r="Q443" s="12"/>
      <c r="R443" s="12"/>
      <c r="S443" s="12"/>
      <c r="T443" s="12"/>
      <c r="U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32"/>
      <c r="O444" s="32"/>
      <c r="P444" s="12"/>
      <c r="Q444" s="12"/>
      <c r="R444" s="12"/>
      <c r="S444" s="12"/>
      <c r="T444" s="12"/>
      <c r="U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32"/>
      <c r="O445" s="32"/>
      <c r="P445" s="12"/>
      <c r="Q445" s="12"/>
      <c r="R445" s="12"/>
      <c r="S445" s="12"/>
      <c r="T445" s="12"/>
      <c r="U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32"/>
      <c r="O446" s="32"/>
      <c r="P446" s="12"/>
      <c r="Q446" s="12"/>
      <c r="R446" s="12"/>
      <c r="S446" s="12"/>
      <c r="T446" s="12"/>
      <c r="U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32"/>
      <c r="O447" s="32"/>
      <c r="P447" s="12"/>
      <c r="Q447" s="12"/>
      <c r="R447" s="12"/>
      <c r="S447" s="12"/>
      <c r="T447" s="12"/>
      <c r="U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32"/>
      <c r="O448" s="32"/>
      <c r="P448" s="12"/>
      <c r="Q448" s="12"/>
      <c r="R448" s="12"/>
      <c r="S448" s="12"/>
      <c r="T448" s="12"/>
      <c r="U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32"/>
      <c r="O449" s="32"/>
      <c r="P449" s="12"/>
      <c r="Q449" s="12"/>
      <c r="R449" s="12"/>
      <c r="S449" s="12"/>
      <c r="T449" s="12"/>
      <c r="U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32"/>
      <c r="O450" s="32"/>
      <c r="P450" s="12"/>
      <c r="Q450" s="12"/>
      <c r="R450" s="12"/>
      <c r="S450" s="12"/>
      <c r="T450" s="12"/>
      <c r="U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32"/>
      <c r="O451" s="32"/>
      <c r="P451" s="12"/>
      <c r="Q451" s="12"/>
      <c r="R451" s="12"/>
      <c r="S451" s="12"/>
      <c r="T451" s="12"/>
      <c r="U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32"/>
      <c r="O452" s="32"/>
      <c r="P452" s="12"/>
      <c r="Q452" s="12"/>
      <c r="R452" s="12"/>
      <c r="S452" s="12"/>
      <c r="T452" s="12"/>
      <c r="U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32"/>
      <c r="O453" s="32"/>
      <c r="P453" s="12"/>
      <c r="Q453" s="12"/>
      <c r="R453" s="12"/>
      <c r="S453" s="12"/>
      <c r="T453" s="12"/>
      <c r="U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32"/>
      <c r="O454" s="32"/>
      <c r="P454" s="12"/>
      <c r="Q454" s="12"/>
      <c r="R454" s="12"/>
      <c r="S454" s="12"/>
      <c r="T454" s="12"/>
      <c r="U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32"/>
      <c r="O455" s="32"/>
      <c r="P455" s="12"/>
      <c r="Q455" s="12"/>
      <c r="R455" s="12"/>
      <c r="S455" s="12"/>
      <c r="T455" s="12"/>
      <c r="U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32"/>
      <c r="O456" s="32"/>
      <c r="P456" s="12"/>
      <c r="Q456" s="12"/>
      <c r="R456" s="12"/>
      <c r="S456" s="12"/>
      <c r="T456" s="12"/>
      <c r="U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32"/>
      <c r="O457" s="32"/>
      <c r="P457" s="12"/>
      <c r="Q457" s="12"/>
      <c r="R457" s="12"/>
      <c r="S457" s="12"/>
      <c r="T457" s="12"/>
      <c r="U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32"/>
      <c r="O458" s="32"/>
      <c r="P458" s="12"/>
      <c r="Q458" s="12"/>
      <c r="R458" s="12"/>
      <c r="S458" s="12"/>
      <c r="T458" s="12"/>
      <c r="U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32"/>
      <c r="O459" s="32"/>
      <c r="P459" s="12"/>
      <c r="Q459" s="12"/>
      <c r="R459" s="12"/>
      <c r="S459" s="12"/>
      <c r="T459" s="12"/>
      <c r="U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32"/>
      <c r="O460" s="32"/>
      <c r="P460" s="12"/>
      <c r="Q460" s="12"/>
      <c r="R460" s="12"/>
      <c r="S460" s="12"/>
      <c r="T460" s="12"/>
      <c r="U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32"/>
      <c r="O461" s="32"/>
      <c r="P461" s="12"/>
      <c r="Q461" s="12"/>
      <c r="R461" s="12"/>
      <c r="S461" s="12"/>
      <c r="T461" s="12"/>
      <c r="U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32"/>
      <c r="O462" s="32"/>
      <c r="P462" s="12"/>
      <c r="Q462" s="12"/>
      <c r="R462" s="12"/>
      <c r="S462" s="12"/>
      <c r="T462" s="12"/>
      <c r="U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32"/>
      <c r="O463" s="32"/>
      <c r="P463" s="12"/>
      <c r="Q463" s="12"/>
      <c r="R463" s="12"/>
      <c r="S463" s="12"/>
      <c r="T463" s="12"/>
      <c r="U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32"/>
      <c r="O464" s="32"/>
      <c r="P464" s="12"/>
      <c r="Q464" s="12"/>
      <c r="R464" s="12"/>
      <c r="S464" s="12"/>
      <c r="T464" s="12"/>
      <c r="U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32"/>
      <c r="O465" s="32"/>
      <c r="P465" s="12"/>
      <c r="Q465" s="12"/>
      <c r="R465" s="12"/>
      <c r="S465" s="12"/>
      <c r="T465" s="12"/>
      <c r="U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32"/>
      <c r="O466" s="32"/>
      <c r="P466" s="12"/>
      <c r="Q466" s="12"/>
      <c r="R466" s="12"/>
      <c r="S466" s="12"/>
      <c r="T466" s="12"/>
      <c r="U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32"/>
      <c r="O467" s="32"/>
      <c r="P467" s="12"/>
      <c r="Q467" s="12"/>
      <c r="R467" s="12"/>
      <c r="S467" s="12"/>
      <c r="T467" s="12"/>
      <c r="U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32"/>
      <c r="O468" s="32"/>
      <c r="P468" s="12"/>
      <c r="Q468" s="12"/>
      <c r="R468" s="12"/>
      <c r="S468" s="12"/>
      <c r="T468" s="12"/>
      <c r="U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32"/>
      <c r="O469" s="32"/>
      <c r="P469" s="12"/>
      <c r="Q469" s="12"/>
      <c r="R469" s="12"/>
      <c r="S469" s="12"/>
      <c r="T469" s="12"/>
      <c r="U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32"/>
      <c r="O470" s="32"/>
      <c r="P470" s="12"/>
      <c r="Q470" s="12"/>
      <c r="R470" s="12"/>
      <c r="S470" s="12"/>
      <c r="T470" s="12"/>
      <c r="U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32"/>
      <c r="O471" s="32"/>
      <c r="P471" s="12"/>
      <c r="Q471" s="12"/>
      <c r="R471" s="12"/>
      <c r="S471" s="12"/>
      <c r="T471" s="12"/>
      <c r="U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32"/>
      <c r="O472" s="32"/>
      <c r="P472" s="12"/>
      <c r="Q472" s="12"/>
      <c r="R472" s="12"/>
      <c r="S472" s="12"/>
      <c r="T472" s="12"/>
      <c r="U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32"/>
      <c r="O473" s="32"/>
      <c r="P473" s="12"/>
      <c r="Q473" s="12"/>
      <c r="R473" s="12"/>
      <c r="S473" s="12"/>
      <c r="T473" s="12"/>
      <c r="U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32"/>
      <c r="O474" s="32"/>
      <c r="P474" s="12"/>
      <c r="Q474" s="12"/>
      <c r="R474" s="12"/>
      <c r="S474" s="12"/>
      <c r="T474" s="12"/>
      <c r="U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32"/>
      <c r="O475" s="32"/>
      <c r="P475" s="12"/>
      <c r="Q475" s="12"/>
      <c r="R475" s="12"/>
      <c r="S475" s="12"/>
      <c r="T475" s="12"/>
      <c r="U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32"/>
      <c r="O476" s="32"/>
      <c r="P476" s="12"/>
      <c r="Q476" s="12"/>
      <c r="R476" s="12"/>
      <c r="S476" s="12"/>
      <c r="T476" s="12"/>
      <c r="U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32"/>
      <c r="O477" s="32"/>
      <c r="P477" s="12"/>
      <c r="Q477" s="12"/>
      <c r="R477" s="12"/>
      <c r="S477" s="12"/>
      <c r="T477" s="12"/>
      <c r="U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32"/>
      <c r="O478" s="32"/>
      <c r="P478" s="12"/>
      <c r="Q478" s="12"/>
      <c r="R478" s="12"/>
      <c r="S478" s="12"/>
      <c r="T478" s="12"/>
      <c r="U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32"/>
      <c r="O479" s="32"/>
      <c r="P479" s="12"/>
      <c r="Q479" s="12"/>
      <c r="R479" s="12"/>
      <c r="S479" s="12"/>
      <c r="T479" s="12"/>
      <c r="U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32"/>
      <c r="O480" s="32"/>
      <c r="P480" s="12"/>
      <c r="Q480" s="12"/>
      <c r="R480" s="12"/>
      <c r="S480" s="12"/>
      <c r="T480" s="12"/>
      <c r="U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32"/>
      <c r="O481" s="32"/>
      <c r="P481" s="12"/>
      <c r="Q481" s="12"/>
      <c r="R481" s="12"/>
      <c r="S481" s="12"/>
      <c r="T481" s="12"/>
      <c r="U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32"/>
      <c r="O482" s="32"/>
      <c r="P482" s="12"/>
      <c r="Q482" s="12"/>
      <c r="R482" s="12"/>
      <c r="S482" s="12"/>
      <c r="T482" s="12"/>
      <c r="U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32"/>
      <c r="O483" s="32"/>
      <c r="P483" s="12"/>
      <c r="Q483" s="12"/>
      <c r="R483" s="12"/>
      <c r="S483" s="12"/>
      <c r="T483" s="12"/>
      <c r="U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32"/>
      <c r="O484" s="32"/>
      <c r="P484" s="12"/>
      <c r="Q484" s="12"/>
      <c r="R484" s="12"/>
      <c r="S484" s="12"/>
      <c r="T484" s="12"/>
      <c r="U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32"/>
      <c r="O485" s="32"/>
      <c r="P485" s="12"/>
      <c r="Q485" s="12"/>
      <c r="R485" s="12"/>
      <c r="S485" s="12"/>
      <c r="T485" s="12"/>
      <c r="U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32"/>
      <c r="O486" s="32"/>
      <c r="P486" s="12"/>
      <c r="Q486" s="12"/>
      <c r="R486" s="12"/>
      <c r="S486" s="12"/>
      <c r="T486" s="12"/>
      <c r="U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32"/>
      <c r="O487" s="32"/>
      <c r="P487" s="12"/>
      <c r="Q487" s="12"/>
      <c r="R487" s="12"/>
      <c r="S487" s="12"/>
      <c r="T487" s="12"/>
      <c r="U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32"/>
      <c r="O488" s="32"/>
      <c r="P488" s="12"/>
      <c r="Q488" s="12"/>
      <c r="R488" s="12"/>
      <c r="S488" s="12"/>
      <c r="T488" s="12"/>
      <c r="U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32"/>
      <c r="O489" s="32"/>
      <c r="P489" s="12"/>
      <c r="Q489" s="12"/>
      <c r="R489" s="12"/>
      <c r="S489" s="12"/>
      <c r="T489" s="12"/>
      <c r="U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32"/>
      <c r="O490" s="32"/>
      <c r="P490" s="12"/>
      <c r="Q490" s="12"/>
      <c r="R490" s="12"/>
      <c r="S490" s="12"/>
      <c r="T490" s="12"/>
      <c r="U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32"/>
      <c r="O491" s="32"/>
      <c r="P491" s="12"/>
      <c r="Q491" s="12"/>
      <c r="R491" s="12"/>
      <c r="S491" s="12"/>
      <c r="T491" s="12"/>
      <c r="U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32"/>
      <c r="O492" s="32"/>
      <c r="P492" s="12"/>
      <c r="Q492" s="12"/>
      <c r="R492" s="12"/>
      <c r="S492" s="12"/>
      <c r="T492" s="12"/>
      <c r="U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32"/>
      <c r="O493" s="32"/>
      <c r="P493" s="12"/>
      <c r="Q493" s="12"/>
      <c r="R493" s="12"/>
      <c r="S493" s="12"/>
      <c r="T493" s="12"/>
      <c r="U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32"/>
      <c r="O494" s="32"/>
      <c r="P494" s="12"/>
      <c r="Q494" s="12"/>
      <c r="R494" s="12"/>
      <c r="S494" s="12"/>
      <c r="T494" s="12"/>
      <c r="U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32"/>
      <c r="O495" s="32"/>
      <c r="P495" s="12"/>
      <c r="Q495" s="12"/>
      <c r="R495" s="12"/>
      <c r="S495" s="12"/>
      <c r="T495" s="12"/>
      <c r="U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32"/>
      <c r="O496" s="32"/>
      <c r="P496" s="12"/>
      <c r="Q496" s="12"/>
      <c r="R496" s="12"/>
      <c r="S496" s="12"/>
      <c r="T496" s="12"/>
      <c r="U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32"/>
      <c r="O497" s="32"/>
      <c r="P497" s="12"/>
      <c r="Q497" s="12"/>
      <c r="R497" s="12"/>
      <c r="S497" s="12"/>
      <c r="T497" s="12"/>
      <c r="U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32"/>
      <c r="O498" s="32"/>
      <c r="P498" s="12"/>
      <c r="Q498" s="12"/>
      <c r="R498" s="12"/>
      <c r="S498" s="12"/>
      <c r="T498" s="12"/>
      <c r="U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32"/>
      <c r="O499" s="32"/>
      <c r="P499" s="12"/>
      <c r="Q499" s="12"/>
      <c r="R499" s="12"/>
      <c r="S499" s="12"/>
      <c r="T499" s="12"/>
      <c r="U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32"/>
      <c r="O500" s="32"/>
      <c r="P500" s="12"/>
      <c r="Q500" s="12"/>
      <c r="R500" s="12"/>
      <c r="S500" s="12"/>
      <c r="T500" s="12"/>
      <c r="U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32"/>
      <c r="O501" s="32"/>
      <c r="P501" s="12"/>
      <c r="Q501" s="12"/>
      <c r="R501" s="12"/>
      <c r="S501" s="12"/>
      <c r="T501" s="12"/>
      <c r="U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32"/>
      <c r="O502" s="32"/>
      <c r="P502" s="12"/>
      <c r="Q502" s="12"/>
      <c r="R502" s="12"/>
      <c r="S502" s="12"/>
      <c r="T502" s="12"/>
      <c r="U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32"/>
      <c r="O503" s="32"/>
      <c r="P503" s="12"/>
      <c r="Q503" s="12"/>
      <c r="R503" s="12"/>
      <c r="S503" s="12"/>
      <c r="T503" s="12"/>
      <c r="U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32"/>
      <c r="O504" s="32"/>
      <c r="P504" s="12"/>
      <c r="Q504" s="12"/>
      <c r="R504" s="12"/>
      <c r="S504" s="12"/>
      <c r="T504" s="12"/>
      <c r="U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32"/>
      <c r="O505" s="32"/>
      <c r="P505" s="12"/>
      <c r="Q505" s="12"/>
      <c r="R505" s="12"/>
      <c r="S505" s="12"/>
      <c r="T505" s="12"/>
      <c r="U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32"/>
      <c r="O506" s="32"/>
      <c r="P506" s="12"/>
      <c r="Q506" s="12"/>
      <c r="R506" s="12"/>
      <c r="S506" s="12"/>
      <c r="T506" s="12"/>
      <c r="U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32"/>
      <c r="O507" s="32"/>
      <c r="P507" s="12"/>
      <c r="Q507" s="12"/>
      <c r="R507" s="12"/>
      <c r="S507" s="12"/>
      <c r="T507" s="12"/>
      <c r="U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32"/>
      <c r="O508" s="32"/>
      <c r="P508" s="12"/>
      <c r="Q508" s="12"/>
      <c r="R508" s="12"/>
      <c r="S508" s="12"/>
      <c r="T508" s="12"/>
      <c r="U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32"/>
      <c r="O509" s="32"/>
      <c r="P509" s="12"/>
      <c r="Q509" s="12"/>
      <c r="R509" s="12"/>
      <c r="S509" s="12"/>
      <c r="T509" s="12"/>
      <c r="U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32"/>
      <c r="O510" s="32"/>
      <c r="P510" s="12"/>
      <c r="Q510" s="12"/>
      <c r="R510" s="12"/>
      <c r="S510" s="12"/>
      <c r="T510" s="12"/>
      <c r="U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32"/>
      <c r="O511" s="32"/>
      <c r="P511" s="12"/>
      <c r="Q511" s="12"/>
      <c r="R511" s="12"/>
      <c r="S511" s="12"/>
      <c r="T511" s="12"/>
      <c r="U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32"/>
      <c r="O512" s="32"/>
      <c r="P512" s="12"/>
      <c r="Q512" s="12"/>
      <c r="R512" s="12"/>
      <c r="S512" s="12"/>
      <c r="T512" s="12"/>
      <c r="U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32"/>
      <c r="O513" s="32"/>
      <c r="P513" s="12"/>
      <c r="Q513" s="12"/>
      <c r="R513" s="12"/>
      <c r="S513" s="12"/>
      <c r="T513" s="12"/>
      <c r="U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32"/>
      <c r="O514" s="32"/>
      <c r="P514" s="12"/>
      <c r="Q514" s="12"/>
      <c r="R514" s="12"/>
      <c r="S514" s="12"/>
      <c r="T514" s="12"/>
      <c r="U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32"/>
      <c r="O515" s="32"/>
      <c r="P515" s="12"/>
      <c r="Q515" s="12"/>
      <c r="R515" s="12"/>
      <c r="S515" s="12"/>
      <c r="T515" s="12"/>
      <c r="U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32"/>
      <c r="O516" s="32"/>
      <c r="P516" s="12"/>
      <c r="Q516" s="12"/>
      <c r="R516" s="12"/>
      <c r="S516" s="12"/>
      <c r="T516" s="12"/>
      <c r="U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32"/>
      <c r="O517" s="32"/>
      <c r="P517" s="12"/>
      <c r="Q517" s="12"/>
      <c r="R517" s="12"/>
      <c r="S517" s="12"/>
      <c r="T517" s="12"/>
      <c r="U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32"/>
      <c r="O518" s="32"/>
      <c r="P518" s="12"/>
      <c r="Q518" s="12"/>
      <c r="R518" s="12"/>
      <c r="S518" s="12"/>
      <c r="T518" s="12"/>
      <c r="U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32"/>
      <c r="O519" s="32"/>
      <c r="P519" s="12"/>
      <c r="Q519" s="12"/>
      <c r="R519" s="12"/>
      <c r="S519" s="12"/>
      <c r="T519" s="12"/>
      <c r="U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32"/>
      <c r="O520" s="32"/>
      <c r="P520" s="12"/>
      <c r="Q520" s="12"/>
      <c r="R520" s="12"/>
      <c r="S520" s="12"/>
      <c r="T520" s="12"/>
      <c r="U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32"/>
      <c r="O521" s="32"/>
      <c r="P521" s="12"/>
      <c r="Q521" s="12"/>
      <c r="R521" s="12"/>
      <c r="S521" s="12"/>
      <c r="T521" s="12"/>
      <c r="U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32"/>
      <c r="O522" s="32"/>
      <c r="P522" s="12"/>
      <c r="Q522" s="12"/>
      <c r="R522" s="12"/>
      <c r="S522" s="12"/>
      <c r="T522" s="12"/>
      <c r="U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32"/>
      <c r="O523" s="32"/>
      <c r="P523" s="12"/>
      <c r="Q523" s="12"/>
      <c r="R523" s="12"/>
      <c r="S523" s="12"/>
      <c r="T523" s="12"/>
      <c r="U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32"/>
      <c r="O524" s="32"/>
      <c r="P524" s="12"/>
      <c r="Q524" s="12"/>
      <c r="R524" s="12"/>
      <c r="S524" s="12"/>
      <c r="T524" s="12"/>
      <c r="U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32"/>
      <c r="O525" s="32"/>
      <c r="P525" s="12"/>
      <c r="Q525" s="12"/>
      <c r="R525" s="12"/>
      <c r="S525" s="12"/>
      <c r="T525" s="12"/>
      <c r="U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32"/>
      <c r="O526" s="32"/>
      <c r="P526" s="12"/>
      <c r="Q526" s="12"/>
      <c r="R526" s="12"/>
      <c r="S526" s="12"/>
      <c r="T526" s="12"/>
      <c r="U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32"/>
      <c r="O527" s="32"/>
      <c r="P527" s="12"/>
      <c r="Q527" s="12"/>
      <c r="R527" s="12"/>
      <c r="S527" s="12"/>
      <c r="T527" s="12"/>
      <c r="U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32"/>
      <c r="O528" s="32"/>
      <c r="P528" s="12"/>
      <c r="Q528" s="12"/>
      <c r="R528" s="12"/>
      <c r="S528" s="12"/>
      <c r="T528" s="12"/>
      <c r="U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32"/>
      <c r="O529" s="32"/>
      <c r="P529" s="12"/>
      <c r="Q529" s="12"/>
      <c r="R529" s="12"/>
      <c r="S529" s="12"/>
      <c r="T529" s="12"/>
      <c r="U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32"/>
      <c r="O530" s="32"/>
      <c r="P530" s="12"/>
      <c r="Q530" s="12"/>
      <c r="R530" s="12"/>
      <c r="S530" s="12"/>
      <c r="T530" s="12"/>
      <c r="U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32"/>
      <c r="O531" s="32"/>
      <c r="P531" s="12"/>
      <c r="Q531" s="12"/>
      <c r="R531" s="12"/>
      <c r="S531" s="12"/>
      <c r="T531" s="12"/>
      <c r="U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32"/>
      <c r="O532" s="32"/>
      <c r="P532" s="12"/>
      <c r="Q532" s="12"/>
      <c r="R532" s="12"/>
      <c r="S532" s="12"/>
      <c r="T532" s="12"/>
      <c r="U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32"/>
      <c r="O533" s="32"/>
      <c r="P533" s="12"/>
      <c r="Q533" s="12"/>
      <c r="R533" s="12"/>
      <c r="S533" s="12"/>
      <c r="T533" s="12"/>
      <c r="U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32"/>
      <c r="O534" s="32"/>
      <c r="P534" s="12"/>
      <c r="Q534" s="12"/>
      <c r="R534" s="12"/>
      <c r="S534" s="12"/>
      <c r="T534" s="12"/>
      <c r="U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32"/>
      <c r="O535" s="32"/>
      <c r="P535" s="12"/>
      <c r="Q535" s="12"/>
      <c r="R535" s="12"/>
      <c r="S535" s="12"/>
      <c r="T535" s="12"/>
      <c r="U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32"/>
      <c r="O536" s="32"/>
      <c r="P536" s="12"/>
      <c r="Q536" s="12"/>
      <c r="R536" s="12"/>
      <c r="S536" s="12"/>
      <c r="T536" s="12"/>
      <c r="U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32"/>
      <c r="O537" s="32"/>
      <c r="P537" s="12"/>
      <c r="Q537" s="12"/>
      <c r="R537" s="12"/>
      <c r="S537" s="12"/>
      <c r="T537" s="12"/>
      <c r="U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32"/>
      <c r="O538" s="32"/>
      <c r="P538" s="12"/>
      <c r="Q538" s="12"/>
      <c r="R538" s="12"/>
      <c r="S538" s="12"/>
      <c r="T538" s="12"/>
      <c r="U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32"/>
      <c r="O539" s="32"/>
      <c r="P539" s="12"/>
      <c r="Q539" s="12"/>
      <c r="R539" s="12"/>
      <c r="S539" s="12"/>
      <c r="T539" s="12"/>
      <c r="U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32"/>
      <c r="O540" s="32"/>
      <c r="P540" s="12"/>
      <c r="Q540" s="12"/>
      <c r="R540" s="12"/>
      <c r="S540" s="12"/>
      <c r="T540" s="12"/>
      <c r="U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32"/>
      <c r="O541" s="32"/>
      <c r="P541" s="12"/>
      <c r="Q541" s="12"/>
      <c r="R541" s="12"/>
      <c r="S541" s="12"/>
      <c r="T541" s="12"/>
      <c r="U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32"/>
      <c r="O542" s="32"/>
      <c r="P542" s="12"/>
      <c r="Q542" s="12"/>
      <c r="R542" s="12"/>
      <c r="S542" s="12"/>
      <c r="T542" s="12"/>
      <c r="U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32"/>
      <c r="O543" s="32"/>
      <c r="P543" s="12"/>
      <c r="Q543" s="12"/>
      <c r="R543" s="12"/>
      <c r="S543" s="12"/>
      <c r="T543" s="12"/>
      <c r="U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32"/>
      <c r="O544" s="32"/>
      <c r="P544" s="12"/>
      <c r="Q544" s="12"/>
      <c r="R544" s="12"/>
      <c r="S544" s="12"/>
      <c r="T544" s="12"/>
      <c r="U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32"/>
      <c r="O545" s="32"/>
      <c r="P545" s="12"/>
      <c r="Q545" s="12"/>
      <c r="R545" s="12"/>
      <c r="S545" s="12"/>
      <c r="T545" s="12"/>
      <c r="U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32"/>
      <c r="O546" s="32"/>
      <c r="P546" s="12"/>
      <c r="Q546" s="12"/>
      <c r="R546" s="12"/>
      <c r="S546" s="12"/>
      <c r="T546" s="12"/>
      <c r="U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32"/>
      <c r="O547" s="32"/>
      <c r="P547" s="12"/>
      <c r="Q547" s="12"/>
      <c r="R547" s="12"/>
      <c r="S547" s="12"/>
      <c r="T547" s="12"/>
      <c r="U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32"/>
      <c r="O548" s="32"/>
      <c r="P548" s="12"/>
      <c r="Q548" s="12"/>
      <c r="R548" s="12"/>
      <c r="S548" s="12"/>
      <c r="T548" s="12"/>
      <c r="U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32"/>
      <c r="O549" s="32"/>
      <c r="P549" s="12"/>
      <c r="Q549" s="12"/>
      <c r="R549" s="12"/>
      <c r="S549" s="12"/>
      <c r="T549" s="12"/>
      <c r="U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32"/>
      <c r="O550" s="32"/>
      <c r="P550" s="12"/>
      <c r="Q550" s="12"/>
      <c r="R550" s="12"/>
      <c r="S550" s="12"/>
      <c r="T550" s="12"/>
      <c r="U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32"/>
      <c r="O551" s="32"/>
      <c r="P551" s="12"/>
      <c r="Q551" s="12"/>
      <c r="R551" s="12"/>
      <c r="S551" s="12"/>
      <c r="T551" s="12"/>
      <c r="U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32"/>
      <c r="O552" s="32"/>
      <c r="P552" s="12"/>
      <c r="Q552" s="12"/>
      <c r="R552" s="12"/>
      <c r="S552" s="12"/>
      <c r="T552" s="12"/>
      <c r="U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32"/>
      <c r="O553" s="32"/>
      <c r="P553" s="12"/>
      <c r="Q553" s="12"/>
      <c r="R553" s="12"/>
      <c r="S553" s="12"/>
      <c r="T553" s="12"/>
      <c r="U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32"/>
      <c r="O554" s="32"/>
      <c r="P554" s="12"/>
      <c r="Q554" s="12"/>
      <c r="R554" s="12"/>
      <c r="S554" s="12"/>
      <c r="T554" s="12"/>
      <c r="U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32"/>
      <c r="O555" s="32"/>
      <c r="P555" s="12"/>
      <c r="Q555" s="12"/>
      <c r="R555" s="12"/>
      <c r="S555" s="12"/>
      <c r="T555" s="12"/>
      <c r="U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32"/>
      <c r="O556" s="32"/>
      <c r="P556" s="12"/>
      <c r="Q556" s="12"/>
      <c r="R556" s="12"/>
      <c r="S556" s="12"/>
      <c r="T556" s="12"/>
      <c r="U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32"/>
      <c r="O557" s="32"/>
      <c r="P557" s="12"/>
      <c r="Q557" s="12"/>
      <c r="R557" s="12"/>
      <c r="S557" s="12"/>
      <c r="T557" s="12"/>
      <c r="U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32"/>
      <c r="O558" s="32"/>
      <c r="P558" s="12"/>
      <c r="Q558" s="12"/>
      <c r="R558" s="12"/>
      <c r="S558" s="12"/>
      <c r="T558" s="12"/>
      <c r="U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32"/>
      <c r="O559" s="32"/>
      <c r="P559" s="12"/>
      <c r="Q559" s="12"/>
      <c r="R559" s="12"/>
      <c r="S559" s="12"/>
      <c r="T559" s="12"/>
      <c r="U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32"/>
      <c r="O560" s="32"/>
      <c r="P560" s="12"/>
      <c r="Q560" s="12"/>
      <c r="R560" s="12"/>
      <c r="S560" s="12"/>
      <c r="T560" s="12"/>
      <c r="U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32"/>
      <c r="O561" s="32"/>
      <c r="P561" s="12"/>
      <c r="Q561" s="12"/>
      <c r="R561" s="12"/>
      <c r="S561" s="12"/>
      <c r="T561" s="12"/>
      <c r="U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32"/>
      <c r="O562" s="32"/>
      <c r="P562" s="12"/>
      <c r="Q562" s="12"/>
      <c r="R562" s="12"/>
      <c r="S562" s="12"/>
      <c r="T562" s="12"/>
      <c r="U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32"/>
      <c r="O563" s="32"/>
      <c r="P563" s="12"/>
      <c r="Q563" s="12"/>
      <c r="R563" s="12"/>
      <c r="S563" s="12"/>
      <c r="T563" s="12"/>
      <c r="U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32"/>
      <c r="O564" s="32"/>
      <c r="P564" s="12"/>
      <c r="Q564" s="12"/>
      <c r="R564" s="12"/>
      <c r="S564" s="12"/>
      <c r="T564" s="12"/>
      <c r="U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32"/>
      <c r="O565" s="32"/>
      <c r="P565" s="12"/>
      <c r="Q565" s="12"/>
      <c r="R565" s="12"/>
      <c r="S565" s="12"/>
      <c r="T565" s="12"/>
      <c r="U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32"/>
      <c r="O566" s="32"/>
      <c r="P566" s="12"/>
      <c r="Q566" s="12"/>
      <c r="R566" s="12"/>
      <c r="S566" s="12"/>
      <c r="T566" s="12"/>
      <c r="U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32"/>
      <c r="O567" s="32"/>
      <c r="P567" s="12"/>
      <c r="Q567" s="12"/>
      <c r="R567" s="12"/>
      <c r="S567" s="12"/>
      <c r="T567" s="12"/>
      <c r="U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32"/>
      <c r="O568" s="32"/>
      <c r="P568" s="12"/>
      <c r="Q568" s="12"/>
      <c r="R568" s="12"/>
      <c r="S568" s="12"/>
      <c r="T568" s="12"/>
      <c r="U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32"/>
      <c r="O569" s="32"/>
      <c r="P569" s="12"/>
      <c r="Q569" s="12"/>
      <c r="R569" s="12"/>
      <c r="S569" s="12"/>
      <c r="T569" s="12"/>
      <c r="U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32"/>
      <c r="O570" s="32"/>
      <c r="P570" s="12"/>
      <c r="Q570" s="12"/>
      <c r="R570" s="12"/>
      <c r="S570" s="12"/>
      <c r="T570" s="12"/>
      <c r="U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32"/>
      <c r="O571" s="32"/>
      <c r="P571" s="12"/>
      <c r="Q571" s="12"/>
      <c r="R571" s="12"/>
      <c r="S571" s="12"/>
      <c r="T571" s="12"/>
      <c r="U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32"/>
      <c r="O572" s="32"/>
      <c r="P572" s="12"/>
      <c r="Q572" s="12"/>
      <c r="R572" s="12"/>
      <c r="S572" s="12"/>
      <c r="T572" s="12"/>
      <c r="U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32"/>
      <c r="O573" s="32"/>
      <c r="P573" s="12"/>
      <c r="Q573" s="12"/>
      <c r="R573" s="12"/>
      <c r="S573" s="12"/>
      <c r="T573" s="12"/>
      <c r="U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32"/>
      <c r="O574" s="32"/>
      <c r="P574" s="12"/>
      <c r="Q574" s="12"/>
      <c r="R574" s="12"/>
      <c r="S574" s="12"/>
      <c r="T574" s="12"/>
      <c r="U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32"/>
      <c r="O575" s="32"/>
      <c r="P575" s="12"/>
      <c r="Q575" s="12"/>
      <c r="R575" s="12"/>
      <c r="S575" s="12"/>
      <c r="T575" s="12"/>
      <c r="U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32"/>
      <c r="O576" s="32"/>
      <c r="P576" s="12"/>
      <c r="Q576" s="12"/>
      <c r="R576" s="12"/>
      <c r="S576" s="12"/>
      <c r="T576" s="12"/>
      <c r="U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32"/>
      <c r="O577" s="32"/>
      <c r="P577" s="12"/>
      <c r="Q577" s="12"/>
      <c r="R577" s="12"/>
      <c r="S577" s="12"/>
      <c r="T577" s="12"/>
      <c r="U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32"/>
      <c r="O578" s="32"/>
      <c r="P578" s="12"/>
      <c r="Q578" s="12"/>
      <c r="R578" s="12"/>
      <c r="S578" s="12"/>
      <c r="T578" s="12"/>
      <c r="U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32"/>
      <c r="O579" s="32"/>
      <c r="P579" s="12"/>
      <c r="Q579" s="12"/>
      <c r="R579" s="12"/>
      <c r="S579" s="12"/>
      <c r="T579" s="12"/>
      <c r="U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32"/>
      <c r="O580" s="32"/>
      <c r="P580" s="12"/>
      <c r="Q580" s="12"/>
      <c r="R580" s="12"/>
      <c r="S580" s="12"/>
      <c r="T580" s="12"/>
      <c r="U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32"/>
      <c r="O581" s="32"/>
      <c r="P581" s="12"/>
      <c r="Q581" s="12"/>
      <c r="R581" s="12"/>
      <c r="S581" s="12"/>
      <c r="T581" s="12"/>
      <c r="U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32"/>
      <c r="O582" s="32"/>
      <c r="P582" s="12"/>
      <c r="Q582" s="12"/>
      <c r="R582" s="12"/>
      <c r="S582" s="12"/>
      <c r="T582" s="12"/>
      <c r="U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32"/>
      <c r="O583" s="32"/>
      <c r="P583" s="12"/>
      <c r="Q583" s="12"/>
      <c r="R583" s="12"/>
      <c r="S583" s="12"/>
      <c r="T583" s="12"/>
      <c r="U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32"/>
      <c r="O584" s="32"/>
      <c r="P584" s="12"/>
      <c r="Q584" s="12"/>
      <c r="R584" s="12"/>
      <c r="S584" s="12"/>
      <c r="T584" s="12"/>
      <c r="U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32"/>
      <c r="O585" s="32"/>
      <c r="P585" s="12"/>
      <c r="Q585" s="12"/>
      <c r="R585" s="12"/>
      <c r="S585" s="12"/>
      <c r="T585" s="12"/>
      <c r="U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32"/>
      <c r="O586" s="32"/>
      <c r="P586" s="12"/>
      <c r="Q586" s="12"/>
      <c r="R586" s="12"/>
      <c r="S586" s="12"/>
      <c r="T586" s="12"/>
      <c r="U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32"/>
      <c r="O587" s="32"/>
      <c r="P587" s="12"/>
      <c r="Q587" s="12"/>
      <c r="R587" s="12"/>
      <c r="S587" s="12"/>
      <c r="T587" s="12"/>
      <c r="U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32"/>
      <c r="O588" s="32"/>
      <c r="P588" s="12"/>
      <c r="Q588" s="12"/>
      <c r="R588" s="12"/>
      <c r="S588" s="12"/>
      <c r="T588" s="12"/>
      <c r="U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32"/>
      <c r="O589" s="32"/>
      <c r="P589" s="12"/>
      <c r="Q589" s="12"/>
      <c r="R589" s="12"/>
      <c r="S589" s="12"/>
      <c r="T589" s="12"/>
      <c r="U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32"/>
      <c r="O590" s="32"/>
      <c r="P590" s="12"/>
      <c r="Q590" s="12"/>
      <c r="R590" s="12"/>
      <c r="S590" s="12"/>
      <c r="T590" s="12"/>
      <c r="U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32"/>
      <c r="O591" s="32"/>
      <c r="P591" s="12"/>
      <c r="Q591" s="12"/>
      <c r="R591" s="12"/>
      <c r="S591" s="12"/>
      <c r="T591" s="12"/>
      <c r="U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32"/>
      <c r="O592" s="32"/>
      <c r="P592" s="12"/>
      <c r="Q592" s="12"/>
      <c r="R592" s="12"/>
      <c r="S592" s="12"/>
      <c r="T592" s="12"/>
      <c r="U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32"/>
      <c r="O593" s="32"/>
      <c r="P593" s="12"/>
      <c r="Q593" s="12"/>
      <c r="R593" s="12"/>
      <c r="S593" s="12"/>
      <c r="T593" s="12"/>
      <c r="U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32"/>
      <c r="O594" s="32"/>
      <c r="P594" s="12"/>
      <c r="Q594" s="12"/>
      <c r="R594" s="12"/>
      <c r="S594" s="12"/>
      <c r="T594" s="12"/>
      <c r="U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32"/>
      <c r="O595" s="32"/>
      <c r="P595" s="12"/>
      <c r="Q595" s="12"/>
      <c r="R595" s="12"/>
      <c r="S595" s="12"/>
      <c r="T595" s="12"/>
      <c r="U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32"/>
      <c r="O596" s="32"/>
      <c r="P596" s="12"/>
      <c r="Q596" s="12"/>
      <c r="R596" s="12"/>
      <c r="S596" s="12"/>
      <c r="T596" s="12"/>
      <c r="U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32"/>
      <c r="O597" s="32"/>
      <c r="P597" s="12"/>
      <c r="Q597" s="12"/>
      <c r="R597" s="12"/>
      <c r="S597" s="12"/>
      <c r="T597" s="12"/>
      <c r="U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32"/>
      <c r="O598" s="32"/>
      <c r="P598" s="12"/>
      <c r="Q598" s="12"/>
      <c r="R598" s="12"/>
      <c r="S598" s="12"/>
      <c r="T598" s="12"/>
      <c r="U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32"/>
      <c r="O599" s="32"/>
      <c r="P599" s="12"/>
      <c r="Q599" s="12"/>
      <c r="R599" s="12"/>
      <c r="S599" s="12"/>
      <c r="T599" s="12"/>
      <c r="U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32"/>
      <c r="O600" s="32"/>
      <c r="P600" s="12"/>
      <c r="Q600" s="12"/>
      <c r="R600" s="12"/>
      <c r="S600" s="12"/>
      <c r="T600" s="12"/>
      <c r="U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32"/>
      <c r="O601" s="32"/>
      <c r="P601" s="12"/>
      <c r="Q601" s="12"/>
      <c r="R601" s="12"/>
      <c r="S601" s="12"/>
      <c r="T601" s="12"/>
      <c r="U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32"/>
      <c r="O602" s="32"/>
      <c r="P602" s="12"/>
      <c r="Q602" s="12"/>
      <c r="R602" s="12"/>
      <c r="S602" s="12"/>
      <c r="T602" s="12"/>
      <c r="U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32"/>
      <c r="O603" s="32"/>
      <c r="P603" s="12"/>
      <c r="Q603" s="12"/>
      <c r="R603" s="12"/>
      <c r="S603" s="12"/>
      <c r="T603" s="12"/>
      <c r="U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32"/>
      <c r="O604" s="32"/>
      <c r="P604" s="12"/>
      <c r="Q604" s="12"/>
      <c r="R604" s="12"/>
      <c r="S604" s="12"/>
      <c r="T604" s="12"/>
      <c r="U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32"/>
      <c r="O605" s="32"/>
      <c r="P605" s="12"/>
      <c r="Q605" s="12"/>
      <c r="R605" s="12"/>
      <c r="S605" s="12"/>
      <c r="T605" s="12"/>
      <c r="U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32"/>
      <c r="O606" s="32"/>
      <c r="P606" s="12"/>
      <c r="Q606" s="12"/>
      <c r="R606" s="12"/>
      <c r="S606" s="12"/>
      <c r="T606" s="12"/>
      <c r="U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32"/>
      <c r="O607" s="32"/>
      <c r="P607" s="12"/>
      <c r="Q607" s="12"/>
      <c r="R607" s="12"/>
      <c r="S607" s="12"/>
      <c r="T607" s="12"/>
      <c r="U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32"/>
      <c r="O608" s="32"/>
      <c r="P608" s="12"/>
      <c r="Q608" s="12"/>
      <c r="R608" s="12"/>
      <c r="S608" s="12"/>
      <c r="T608" s="12"/>
      <c r="U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32"/>
      <c r="O609" s="32"/>
      <c r="P609" s="12"/>
      <c r="Q609" s="12"/>
      <c r="R609" s="12"/>
      <c r="S609" s="12"/>
      <c r="T609" s="12"/>
      <c r="U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32"/>
      <c r="O610" s="32"/>
      <c r="P610" s="12"/>
      <c r="Q610" s="12"/>
      <c r="R610" s="12"/>
      <c r="S610" s="12"/>
      <c r="T610" s="12"/>
      <c r="U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32"/>
      <c r="O611" s="32"/>
      <c r="P611" s="12"/>
      <c r="Q611" s="12"/>
      <c r="R611" s="12"/>
      <c r="S611" s="12"/>
      <c r="T611" s="12"/>
      <c r="U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32"/>
      <c r="O612" s="32"/>
      <c r="P612" s="12"/>
      <c r="Q612" s="12"/>
      <c r="R612" s="12"/>
      <c r="S612" s="12"/>
      <c r="T612" s="12"/>
      <c r="U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32"/>
      <c r="O613" s="32"/>
      <c r="P613" s="12"/>
      <c r="Q613" s="12"/>
      <c r="R613" s="12"/>
      <c r="S613" s="12"/>
      <c r="T613" s="12"/>
      <c r="U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32"/>
      <c r="O614" s="32"/>
      <c r="P614" s="12"/>
      <c r="Q614" s="12"/>
      <c r="R614" s="12"/>
      <c r="S614" s="12"/>
      <c r="T614" s="12"/>
      <c r="U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32"/>
      <c r="O615" s="32"/>
      <c r="P615" s="12"/>
      <c r="Q615" s="12"/>
      <c r="R615" s="12"/>
      <c r="S615" s="12"/>
      <c r="T615" s="12"/>
      <c r="U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32"/>
      <c r="O616" s="32"/>
      <c r="P616" s="12"/>
      <c r="Q616" s="12"/>
      <c r="R616" s="12"/>
      <c r="S616" s="12"/>
      <c r="T616" s="12"/>
      <c r="U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32"/>
      <c r="O617" s="32"/>
      <c r="P617" s="12"/>
      <c r="Q617" s="12"/>
      <c r="R617" s="12"/>
      <c r="S617" s="12"/>
      <c r="T617" s="12"/>
      <c r="U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32"/>
      <c r="O618" s="32"/>
      <c r="P618" s="12"/>
      <c r="Q618" s="12"/>
      <c r="R618" s="12"/>
      <c r="S618" s="12"/>
      <c r="T618" s="12"/>
      <c r="U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32"/>
      <c r="O619" s="32"/>
      <c r="P619" s="12"/>
      <c r="Q619" s="12"/>
      <c r="R619" s="12"/>
      <c r="S619" s="12"/>
      <c r="T619" s="12"/>
      <c r="U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32"/>
      <c r="O620" s="32"/>
      <c r="P620" s="12"/>
      <c r="Q620" s="12"/>
      <c r="R620" s="12"/>
      <c r="S620" s="12"/>
      <c r="T620" s="12"/>
      <c r="U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32"/>
      <c r="O621" s="32"/>
      <c r="P621" s="12"/>
      <c r="Q621" s="12"/>
      <c r="R621" s="12"/>
      <c r="S621" s="12"/>
      <c r="T621" s="12"/>
      <c r="U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32"/>
      <c r="O622" s="32"/>
      <c r="P622" s="12"/>
      <c r="Q622" s="12"/>
      <c r="R622" s="12"/>
      <c r="S622" s="12"/>
      <c r="T622" s="12"/>
      <c r="U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32"/>
      <c r="O623" s="32"/>
      <c r="P623" s="12"/>
      <c r="Q623" s="12"/>
      <c r="R623" s="12"/>
      <c r="S623" s="12"/>
      <c r="T623" s="12"/>
      <c r="U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32"/>
      <c r="O624" s="32"/>
      <c r="P624" s="12"/>
      <c r="Q624" s="12"/>
      <c r="R624" s="12"/>
      <c r="S624" s="12"/>
      <c r="T624" s="12"/>
      <c r="U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32"/>
      <c r="O625" s="32"/>
      <c r="P625" s="12"/>
      <c r="Q625" s="12"/>
      <c r="R625" s="12"/>
      <c r="S625" s="12"/>
      <c r="T625" s="12"/>
      <c r="U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32"/>
      <c r="O626" s="32"/>
      <c r="P626" s="12"/>
      <c r="Q626" s="12"/>
      <c r="R626" s="12"/>
      <c r="S626" s="12"/>
      <c r="T626" s="12"/>
      <c r="U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32"/>
      <c r="O627" s="32"/>
      <c r="P627" s="12"/>
      <c r="Q627" s="12"/>
      <c r="R627" s="12"/>
      <c r="S627" s="12"/>
      <c r="T627" s="12"/>
      <c r="U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32"/>
      <c r="O628" s="32"/>
      <c r="P628" s="12"/>
      <c r="Q628" s="12"/>
      <c r="R628" s="12"/>
      <c r="S628" s="12"/>
      <c r="T628" s="12"/>
      <c r="U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32"/>
      <c r="O629" s="32"/>
      <c r="P629" s="12"/>
      <c r="Q629" s="12"/>
      <c r="R629" s="12"/>
      <c r="S629" s="12"/>
      <c r="T629" s="12"/>
      <c r="U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32"/>
      <c r="O630" s="32"/>
      <c r="P630" s="12"/>
      <c r="Q630" s="12"/>
      <c r="R630" s="12"/>
      <c r="S630" s="12"/>
      <c r="T630" s="12"/>
      <c r="U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32"/>
      <c r="O631" s="32"/>
      <c r="P631" s="12"/>
      <c r="Q631" s="12"/>
      <c r="R631" s="12"/>
      <c r="S631" s="12"/>
      <c r="T631" s="12"/>
      <c r="U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32"/>
      <c r="O632" s="32"/>
      <c r="P632" s="12"/>
      <c r="Q632" s="12"/>
      <c r="R632" s="12"/>
      <c r="S632" s="12"/>
      <c r="T632" s="12"/>
      <c r="U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32"/>
      <c r="O633" s="32"/>
      <c r="P633" s="12"/>
      <c r="Q633" s="12"/>
      <c r="R633" s="12"/>
      <c r="S633" s="12"/>
      <c r="T633" s="12"/>
      <c r="U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32"/>
      <c r="O634" s="32"/>
      <c r="P634" s="12"/>
      <c r="Q634" s="12"/>
      <c r="R634" s="12"/>
      <c r="S634" s="12"/>
      <c r="T634" s="12"/>
      <c r="U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32"/>
      <c r="O635" s="32"/>
      <c r="P635" s="12"/>
      <c r="Q635" s="12"/>
      <c r="R635" s="12"/>
      <c r="S635" s="12"/>
      <c r="T635" s="12"/>
      <c r="U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32"/>
      <c r="O636" s="32"/>
      <c r="P636" s="12"/>
      <c r="Q636" s="12"/>
      <c r="R636" s="12"/>
      <c r="S636" s="12"/>
      <c r="T636" s="12"/>
      <c r="U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32"/>
      <c r="O637" s="32"/>
      <c r="P637" s="12"/>
      <c r="Q637" s="12"/>
      <c r="R637" s="12"/>
      <c r="S637" s="12"/>
      <c r="T637" s="12"/>
      <c r="U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32"/>
      <c r="O638" s="32"/>
      <c r="P638" s="12"/>
      <c r="Q638" s="12"/>
      <c r="R638" s="12"/>
      <c r="S638" s="12"/>
      <c r="T638" s="12"/>
      <c r="U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32"/>
      <c r="O639" s="32"/>
      <c r="P639" s="12"/>
      <c r="Q639" s="12"/>
      <c r="R639" s="12"/>
      <c r="S639" s="12"/>
      <c r="T639" s="12"/>
      <c r="U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32"/>
      <c r="O640" s="32"/>
      <c r="P640" s="12"/>
      <c r="Q640" s="12"/>
      <c r="R640" s="12"/>
      <c r="S640" s="12"/>
      <c r="T640" s="12"/>
      <c r="U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32"/>
      <c r="O641" s="32"/>
      <c r="P641" s="12"/>
      <c r="Q641" s="12"/>
      <c r="R641" s="12"/>
      <c r="S641" s="12"/>
      <c r="T641" s="12"/>
      <c r="U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32"/>
      <c r="O642" s="32"/>
      <c r="P642" s="12"/>
      <c r="Q642" s="12"/>
      <c r="R642" s="12"/>
      <c r="S642" s="12"/>
      <c r="T642" s="12"/>
      <c r="U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32"/>
      <c r="O643" s="32"/>
      <c r="P643" s="12"/>
      <c r="Q643" s="12"/>
      <c r="R643" s="12"/>
      <c r="S643" s="12"/>
      <c r="T643" s="12"/>
      <c r="U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32"/>
      <c r="O644" s="32"/>
      <c r="P644" s="12"/>
      <c r="Q644" s="12"/>
      <c r="R644" s="12"/>
      <c r="S644" s="12"/>
      <c r="T644" s="12"/>
      <c r="U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32"/>
      <c r="O645" s="32"/>
      <c r="P645" s="12"/>
      <c r="Q645" s="12"/>
      <c r="R645" s="12"/>
      <c r="S645" s="12"/>
      <c r="T645" s="12"/>
      <c r="U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32"/>
      <c r="O646" s="32"/>
      <c r="P646" s="12"/>
      <c r="Q646" s="12"/>
      <c r="R646" s="12"/>
      <c r="S646" s="12"/>
      <c r="T646" s="12"/>
      <c r="U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32"/>
      <c r="O647" s="32"/>
      <c r="P647" s="12"/>
      <c r="Q647" s="12"/>
      <c r="R647" s="12"/>
      <c r="S647" s="12"/>
      <c r="T647" s="12"/>
      <c r="U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32"/>
      <c r="O648" s="32"/>
      <c r="P648" s="12"/>
      <c r="Q648" s="12"/>
      <c r="R648" s="12"/>
      <c r="S648" s="12"/>
      <c r="T648" s="12"/>
      <c r="U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32"/>
      <c r="O649" s="32"/>
      <c r="P649" s="12"/>
      <c r="Q649" s="12"/>
      <c r="R649" s="12"/>
      <c r="S649" s="12"/>
      <c r="T649" s="12"/>
      <c r="U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32"/>
      <c r="O650" s="32"/>
      <c r="P650" s="12"/>
      <c r="Q650" s="12"/>
      <c r="R650" s="12"/>
      <c r="S650" s="12"/>
      <c r="T650" s="12"/>
      <c r="U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32"/>
      <c r="O651" s="32"/>
      <c r="P651" s="12"/>
      <c r="Q651" s="12"/>
      <c r="R651" s="12"/>
      <c r="S651" s="12"/>
      <c r="T651" s="12"/>
      <c r="U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32"/>
      <c r="O652" s="32"/>
      <c r="P652" s="12"/>
      <c r="Q652" s="12"/>
      <c r="R652" s="12"/>
      <c r="S652" s="12"/>
      <c r="T652" s="12"/>
      <c r="U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32"/>
      <c r="O653" s="32"/>
      <c r="P653" s="12"/>
      <c r="Q653" s="12"/>
      <c r="R653" s="12"/>
      <c r="S653" s="12"/>
      <c r="T653" s="12"/>
      <c r="U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32"/>
      <c r="O654" s="32"/>
      <c r="P654" s="12"/>
      <c r="Q654" s="12"/>
      <c r="R654" s="12"/>
      <c r="S654" s="12"/>
      <c r="T654" s="12"/>
      <c r="U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32"/>
      <c r="O655" s="32"/>
      <c r="P655" s="12"/>
      <c r="Q655" s="12"/>
      <c r="R655" s="12"/>
      <c r="S655" s="12"/>
      <c r="T655" s="12"/>
      <c r="U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32"/>
      <c r="O656" s="32"/>
      <c r="P656" s="12"/>
      <c r="Q656" s="12"/>
      <c r="R656" s="12"/>
      <c r="S656" s="12"/>
      <c r="T656" s="12"/>
      <c r="U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32"/>
      <c r="O657" s="32"/>
      <c r="P657" s="12"/>
      <c r="Q657" s="12"/>
      <c r="R657" s="12"/>
      <c r="S657" s="12"/>
      <c r="T657" s="12"/>
      <c r="U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32"/>
      <c r="O658" s="32"/>
      <c r="P658" s="12"/>
      <c r="Q658" s="12"/>
      <c r="R658" s="12"/>
      <c r="S658" s="12"/>
      <c r="T658" s="12"/>
      <c r="U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32"/>
      <c r="O659" s="32"/>
      <c r="P659" s="12"/>
      <c r="Q659" s="12"/>
      <c r="R659" s="12"/>
      <c r="S659" s="12"/>
      <c r="T659" s="12"/>
      <c r="U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32"/>
      <c r="O660" s="32"/>
      <c r="P660" s="12"/>
      <c r="Q660" s="12"/>
      <c r="R660" s="12"/>
      <c r="S660" s="12"/>
      <c r="T660" s="12"/>
      <c r="U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32"/>
      <c r="O661" s="32"/>
      <c r="P661" s="12"/>
      <c r="Q661" s="12"/>
      <c r="R661" s="12"/>
      <c r="S661" s="12"/>
      <c r="T661" s="12"/>
      <c r="U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32"/>
      <c r="O662" s="32"/>
      <c r="P662" s="12"/>
      <c r="Q662" s="12"/>
      <c r="R662" s="12"/>
      <c r="S662" s="12"/>
      <c r="T662" s="12"/>
      <c r="U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32"/>
      <c r="O663" s="32"/>
      <c r="P663" s="12"/>
      <c r="Q663" s="12"/>
      <c r="R663" s="12"/>
      <c r="S663" s="12"/>
      <c r="T663" s="12"/>
      <c r="U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32"/>
      <c r="O664" s="32"/>
      <c r="P664" s="12"/>
      <c r="Q664" s="12"/>
      <c r="R664" s="12"/>
      <c r="S664" s="12"/>
      <c r="T664" s="12"/>
      <c r="U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32"/>
      <c r="O665" s="32"/>
      <c r="P665" s="12"/>
      <c r="Q665" s="12"/>
      <c r="R665" s="12"/>
      <c r="S665" s="12"/>
      <c r="T665" s="12"/>
      <c r="U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32"/>
      <c r="O666" s="32"/>
      <c r="P666" s="12"/>
      <c r="Q666" s="12"/>
      <c r="R666" s="12"/>
      <c r="S666" s="12"/>
      <c r="T666" s="12"/>
      <c r="U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32"/>
      <c r="O667" s="32"/>
      <c r="P667" s="12"/>
      <c r="Q667" s="12"/>
      <c r="R667" s="12"/>
      <c r="S667" s="12"/>
      <c r="T667" s="12"/>
      <c r="U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32"/>
      <c r="O668" s="32"/>
      <c r="P668" s="12"/>
      <c r="Q668" s="12"/>
      <c r="R668" s="12"/>
      <c r="S668" s="12"/>
      <c r="T668" s="12"/>
      <c r="U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32"/>
      <c r="O669" s="32"/>
      <c r="P669" s="12"/>
      <c r="Q669" s="12"/>
      <c r="R669" s="12"/>
      <c r="S669" s="12"/>
      <c r="T669" s="12"/>
      <c r="U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32"/>
      <c r="O670" s="32"/>
      <c r="P670" s="12"/>
      <c r="Q670" s="12"/>
      <c r="R670" s="12"/>
      <c r="S670" s="12"/>
      <c r="T670" s="12"/>
      <c r="U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32"/>
      <c r="O671" s="32"/>
      <c r="P671" s="12"/>
      <c r="Q671" s="12"/>
      <c r="R671" s="12"/>
      <c r="S671" s="12"/>
      <c r="T671" s="12"/>
      <c r="U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32"/>
      <c r="O672" s="32"/>
      <c r="P672" s="12"/>
      <c r="Q672" s="12"/>
      <c r="R672" s="12"/>
      <c r="S672" s="12"/>
      <c r="T672" s="12"/>
      <c r="U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32"/>
      <c r="O673" s="32"/>
      <c r="P673" s="12"/>
      <c r="Q673" s="12"/>
      <c r="R673" s="12"/>
      <c r="S673" s="12"/>
      <c r="T673" s="12"/>
      <c r="U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32"/>
      <c r="O674" s="32"/>
      <c r="P674" s="12"/>
      <c r="Q674" s="12"/>
      <c r="R674" s="12"/>
      <c r="S674" s="12"/>
      <c r="T674" s="12"/>
      <c r="U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32"/>
      <c r="O675" s="32"/>
      <c r="P675" s="12"/>
      <c r="Q675" s="12"/>
      <c r="R675" s="12"/>
      <c r="S675" s="12"/>
      <c r="T675" s="12"/>
      <c r="U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32"/>
      <c r="O676" s="32"/>
      <c r="P676" s="12"/>
      <c r="Q676" s="12"/>
      <c r="R676" s="12"/>
      <c r="S676" s="12"/>
      <c r="T676" s="12"/>
      <c r="U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32"/>
      <c r="O677" s="32"/>
      <c r="P677" s="12"/>
      <c r="Q677" s="12"/>
      <c r="R677" s="12"/>
      <c r="S677" s="12"/>
      <c r="T677" s="12"/>
      <c r="U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32"/>
      <c r="O678" s="32"/>
      <c r="P678" s="12"/>
      <c r="Q678" s="12"/>
      <c r="R678" s="12"/>
      <c r="S678" s="12"/>
      <c r="T678" s="12"/>
      <c r="U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32"/>
      <c r="O679" s="32"/>
      <c r="P679" s="12"/>
      <c r="Q679" s="12"/>
      <c r="R679" s="12"/>
      <c r="S679" s="12"/>
      <c r="T679" s="12"/>
      <c r="U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32"/>
      <c r="O680" s="32"/>
      <c r="P680" s="12"/>
      <c r="Q680" s="12"/>
      <c r="R680" s="12"/>
      <c r="S680" s="12"/>
      <c r="T680" s="12"/>
      <c r="U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32"/>
      <c r="O681" s="32"/>
      <c r="P681" s="12"/>
      <c r="Q681" s="12"/>
      <c r="R681" s="12"/>
      <c r="S681" s="12"/>
      <c r="T681" s="12"/>
      <c r="U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32"/>
      <c r="O682" s="32"/>
      <c r="P682" s="12"/>
      <c r="Q682" s="12"/>
      <c r="R682" s="12"/>
      <c r="S682" s="12"/>
      <c r="T682" s="12"/>
      <c r="U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32"/>
      <c r="O683" s="32"/>
      <c r="P683" s="12"/>
      <c r="Q683" s="12"/>
      <c r="R683" s="12"/>
      <c r="S683" s="12"/>
      <c r="T683" s="12"/>
      <c r="U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32"/>
      <c r="O684" s="32"/>
      <c r="P684" s="12"/>
      <c r="Q684" s="12"/>
      <c r="R684" s="12"/>
      <c r="S684" s="12"/>
      <c r="T684" s="12"/>
      <c r="U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32"/>
      <c r="O685" s="32"/>
      <c r="P685" s="12"/>
      <c r="Q685" s="12"/>
      <c r="R685" s="12"/>
      <c r="S685" s="12"/>
      <c r="T685" s="12"/>
      <c r="U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32"/>
      <c r="O686" s="32"/>
      <c r="P686" s="12"/>
      <c r="Q686" s="12"/>
      <c r="R686" s="12"/>
      <c r="S686" s="12"/>
      <c r="T686" s="12"/>
      <c r="U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32"/>
      <c r="O687" s="32"/>
      <c r="P687" s="12"/>
      <c r="Q687" s="12"/>
      <c r="R687" s="12"/>
      <c r="S687" s="12"/>
      <c r="T687" s="12"/>
      <c r="U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32"/>
      <c r="O688" s="32"/>
      <c r="P688" s="12"/>
      <c r="Q688" s="12"/>
      <c r="R688" s="12"/>
      <c r="S688" s="12"/>
      <c r="T688" s="12"/>
      <c r="U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32"/>
      <c r="O689" s="32"/>
      <c r="P689" s="12"/>
      <c r="Q689" s="12"/>
      <c r="R689" s="12"/>
      <c r="S689" s="12"/>
      <c r="T689" s="12"/>
      <c r="U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32"/>
      <c r="O690" s="32"/>
      <c r="P690" s="12"/>
      <c r="Q690" s="12"/>
      <c r="R690" s="12"/>
      <c r="S690" s="12"/>
      <c r="T690" s="12"/>
      <c r="U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32"/>
      <c r="O691" s="32"/>
      <c r="P691" s="12"/>
      <c r="Q691" s="12"/>
      <c r="R691" s="12"/>
      <c r="S691" s="12"/>
      <c r="T691" s="12"/>
      <c r="U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32"/>
      <c r="O692" s="32"/>
      <c r="P692" s="12"/>
      <c r="Q692" s="12"/>
      <c r="R692" s="12"/>
      <c r="S692" s="12"/>
      <c r="T692" s="12"/>
      <c r="U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32"/>
      <c r="O693" s="32"/>
      <c r="P693" s="12"/>
      <c r="Q693" s="12"/>
      <c r="R693" s="12"/>
      <c r="S693" s="12"/>
      <c r="T693" s="12"/>
      <c r="U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32"/>
      <c r="O694" s="32"/>
      <c r="P694" s="12"/>
      <c r="Q694" s="12"/>
      <c r="R694" s="12"/>
      <c r="S694" s="12"/>
      <c r="T694" s="12"/>
      <c r="U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32"/>
      <c r="O695" s="32"/>
      <c r="P695" s="12"/>
      <c r="Q695" s="12"/>
      <c r="R695" s="12"/>
      <c r="S695" s="12"/>
      <c r="T695" s="12"/>
      <c r="U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32"/>
      <c r="O696" s="32"/>
      <c r="P696" s="12"/>
      <c r="Q696" s="12"/>
      <c r="R696" s="12"/>
      <c r="S696" s="12"/>
      <c r="T696" s="12"/>
      <c r="U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32"/>
      <c r="O697" s="32"/>
      <c r="P697" s="12"/>
      <c r="Q697" s="12"/>
      <c r="R697" s="12"/>
      <c r="S697" s="12"/>
      <c r="T697" s="12"/>
      <c r="U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32"/>
      <c r="O698" s="32"/>
      <c r="P698" s="12"/>
      <c r="Q698" s="12"/>
      <c r="R698" s="12"/>
      <c r="S698" s="12"/>
      <c r="T698" s="12"/>
      <c r="U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32"/>
      <c r="O699" s="32"/>
      <c r="P699" s="12"/>
      <c r="Q699" s="12"/>
      <c r="R699" s="12"/>
      <c r="S699" s="12"/>
      <c r="T699" s="12"/>
      <c r="U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32"/>
      <c r="O700" s="32"/>
      <c r="P700" s="12"/>
      <c r="Q700" s="12"/>
      <c r="R700" s="12"/>
      <c r="S700" s="12"/>
      <c r="T700" s="12"/>
      <c r="U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32"/>
      <c r="O701" s="32"/>
      <c r="P701" s="12"/>
      <c r="Q701" s="12"/>
      <c r="R701" s="12"/>
      <c r="S701" s="12"/>
      <c r="T701" s="12"/>
      <c r="U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32"/>
      <c r="O702" s="32"/>
      <c r="P702" s="12"/>
      <c r="Q702" s="12"/>
      <c r="R702" s="12"/>
      <c r="S702" s="12"/>
      <c r="T702" s="12"/>
      <c r="U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32"/>
      <c r="O703" s="32"/>
      <c r="P703" s="12"/>
      <c r="Q703" s="12"/>
      <c r="R703" s="12"/>
      <c r="S703" s="12"/>
      <c r="T703" s="12"/>
      <c r="U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32"/>
      <c r="O704" s="32"/>
      <c r="P704" s="12"/>
      <c r="Q704" s="12"/>
      <c r="R704" s="12"/>
      <c r="S704" s="12"/>
      <c r="T704" s="12"/>
      <c r="U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32"/>
      <c r="O705" s="32"/>
      <c r="P705" s="12"/>
      <c r="Q705" s="12"/>
      <c r="R705" s="12"/>
      <c r="S705" s="12"/>
      <c r="T705" s="12"/>
      <c r="U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32"/>
      <c r="O706" s="32"/>
      <c r="P706" s="12"/>
      <c r="Q706" s="12"/>
      <c r="R706" s="12"/>
      <c r="S706" s="12"/>
      <c r="T706" s="12"/>
      <c r="U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32"/>
      <c r="O707" s="32"/>
      <c r="P707" s="12"/>
      <c r="Q707" s="12"/>
      <c r="R707" s="12"/>
      <c r="S707" s="12"/>
      <c r="T707" s="12"/>
      <c r="U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32"/>
      <c r="O708" s="32"/>
      <c r="P708" s="12"/>
      <c r="Q708" s="12"/>
      <c r="R708" s="12"/>
      <c r="S708" s="12"/>
      <c r="T708" s="12"/>
      <c r="U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32"/>
      <c r="O709" s="32"/>
      <c r="P709" s="12"/>
      <c r="Q709" s="12"/>
      <c r="R709" s="12"/>
      <c r="S709" s="12"/>
      <c r="T709" s="12"/>
      <c r="U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32"/>
      <c r="O710" s="32"/>
      <c r="P710" s="12"/>
      <c r="Q710" s="12"/>
      <c r="R710" s="12"/>
      <c r="S710" s="12"/>
      <c r="T710" s="12"/>
      <c r="U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32"/>
      <c r="O711" s="32"/>
      <c r="P711" s="12"/>
      <c r="Q711" s="12"/>
      <c r="R711" s="12"/>
      <c r="S711" s="12"/>
      <c r="T711" s="12"/>
      <c r="U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32"/>
      <c r="O712" s="32"/>
      <c r="P712" s="12"/>
      <c r="Q712" s="12"/>
      <c r="R712" s="12"/>
      <c r="S712" s="12"/>
      <c r="T712" s="12"/>
      <c r="U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32"/>
      <c r="O713" s="32"/>
      <c r="P713" s="12"/>
      <c r="Q713" s="12"/>
      <c r="R713" s="12"/>
      <c r="S713" s="12"/>
      <c r="T713" s="12"/>
      <c r="U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32"/>
      <c r="O714" s="32"/>
      <c r="P714" s="12"/>
      <c r="Q714" s="12"/>
      <c r="R714" s="12"/>
      <c r="S714" s="12"/>
      <c r="T714" s="12"/>
      <c r="U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32"/>
      <c r="O715" s="32"/>
      <c r="P715" s="12"/>
      <c r="Q715" s="12"/>
      <c r="R715" s="12"/>
      <c r="S715" s="12"/>
      <c r="T715" s="12"/>
      <c r="U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32"/>
      <c r="O716" s="32"/>
      <c r="P716" s="12"/>
      <c r="Q716" s="12"/>
      <c r="R716" s="12"/>
      <c r="S716" s="12"/>
      <c r="T716" s="12"/>
      <c r="U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32"/>
      <c r="O717" s="32"/>
      <c r="P717" s="12"/>
      <c r="Q717" s="12"/>
      <c r="R717" s="12"/>
      <c r="S717" s="12"/>
      <c r="T717" s="12"/>
      <c r="U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32"/>
      <c r="O718" s="32"/>
      <c r="P718" s="12"/>
      <c r="Q718" s="12"/>
      <c r="R718" s="12"/>
      <c r="S718" s="12"/>
      <c r="T718" s="12"/>
      <c r="U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32"/>
      <c r="O719" s="32"/>
      <c r="P719" s="12"/>
      <c r="Q719" s="12"/>
      <c r="R719" s="12"/>
      <c r="S719" s="12"/>
      <c r="T719" s="12"/>
      <c r="U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32"/>
      <c r="O720" s="32"/>
      <c r="P720" s="12"/>
      <c r="Q720" s="12"/>
      <c r="R720" s="12"/>
      <c r="S720" s="12"/>
      <c r="T720" s="12"/>
      <c r="U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32"/>
      <c r="O721" s="32"/>
      <c r="P721" s="12"/>
      <c r="Q721" s="12"/>
      <c r="R721" s="12"/>
      <c r="S721" s="12"/>
      <c r="T721" s="12"/>
      <c r="U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32"/>
      <c r="O722" s="32"/>
      <c r="P722" s="12"/>
      <c r="Q722" s="12"/>
      <c r="R722" s="12"/>
      <c r="S722" s="12"/>
      <c r="T722" s="12"/>
      <c r="U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32"/>
      <c r="O723" s="32"/>
      <c r="P723" s="12"/>
      <c r="Q723" s="12"/>
      <c r="R723" s="12"/>
      <c r="S723" s="12"/>
      <c r="T723" s="12"/>
      <c r="U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32"/>
      <c r="O724" s="32"/>
      <c r="P724" s="12"/>
      <c r="Q724" s="12"/>
      <c r="R724" s="12"/>
      <c r="S724" s="12"/>
      <c r="T724" s="12"/>
      <c r="U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32"/>
      <c r="O725" s="32"/>
      <c r="P725" s="12"/>
      <c r="Q725" s="12"/>
      <c r="R725" s="12"/>
      <c r="S725" s="12"/>
      <c r="T725" s="12"/>
      <c r="U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32"/>
      <c r="O726" s="32"/>
      <c r="P726" s="12"/>
      <c r="Q726" s="12"/>
      <c r="R726" s="12"/>
      <c r="S726" s="12"/>
      <c r="T726" s="12"/>
      <c r="U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32"/>
      <c r="O727" s="32"/>
      <c r="P727" s="12"/>
      <c r="Q727" s="12"/>
      <c r="R727" s="12"/>
      <c r="S727" s="12"/>
      <c r="T727" s="12"/>
      <c r="U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32"/>
      <c r="O728" s="32"/>
      <c r="P728" s="12"/>
      <c r="Q728" s="12"/>
      <c r="R728" s="12"/>
      <c r="S728" s="12"/>
      <c r="T728" s="12"/>
      <c r="U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32"/>
      <c r="O729" s="32"/>
      <c r="P729" s="12"/>
      <c r="Q729" s="12"/>
      <c r="R729" s="12"/>
      <c r="S729" s="12"/>
      <c r="T729" s="12"/>
      <c r="U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32"/>
      <c r="O730" s="32"/>
      <c r="P730" s="12"/>
      <c r="Q730" s="12"/>
      <c r="R730" s="12"/>
      <c r="S730" s="12"/>
      <c r="T730" s="12"/>
      <c r="U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32"/>
      <c r="O731" s="32"/>
      <c r="P731" s="12"/>
      <c r="Q731" s="12"/>
      <c r="R731" s="12"/>
      <c r="S731" s="12"/>
      <c r="T731" s="12"/>
      <c r="U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32"/>
      <c r="O732" s="32"/>
      <c r="P732" s="12"/>
      <c r="Q732" s="12"/>
      <c r="R732" s="12"/>
      <c r="S732" s="12"/>
      <c r="T732" s="12"/>
      <c r="U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32"/>
      <c r="O733" s="32"/>
      <c r="P733" s="12"/>
      <c r="Q733" s="12"/>
      <c r="R733" s="12"/>
      <c r="S733" s="12"/>
      <c r="T733" s="12"/>
      <c r="U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32"/>
      <c r="O734" s="32"/>
      <c r="P734" s="12"/>
      <c r="Q734" s="12"/>
      <c r="R734" s="12"/>
      <c r="S734" s="12"/>
      <c r="T734" s="12"/>
      <c r="U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32"/>
      <c r="O735" s="32"/>
      <c r="P735" s="12"/>
      <c r="Q735" s="12"/>
      <c r="R735" s="12"/>
      <c r="S735" s="12"/>
      <c r="T735" s="12"/>
      <c r="U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32"/>
      <c r="O736" s="32"/>
      <c r="P736" s="12"/>
      <c r="Q736" s="12"/>
      <c r="R736" s="12"/>
      <c r="S736" s="12"/>
      <c r="T736" s="12"/>
      <c r="U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32"/>
      <c r="O737" s="32"/>
      <c r="P737" s="12"/>
      <c r="Q737" s="12"/>
      <c r="R737" s="12"/>
      <c r="S737" s="12"/>
      <c r="T737" s="12"/>
      <c r="U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32"/>
      <c r="O738" s="32"/>
      <c r="P738" s="12"/>
      <c r="Q738" s="12"/>
      <c r="R738" s="12"/>
      <c r="S738" s="12"/>
      <c r="T738" s="12"/>
      <c r="U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32"/>
      <c r="O739" s="32"/>
      <c r="P739" s="12"/>
      <c r="Q739" s="12"/>
      <c r="R739" s="12"/>
      <c r="S739" s="12"/>
      <c r="T739" s="12"/>
      <c r="U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32"/>
      <c r="O740" s="32"/>
      <c r="P740" s="12"/>
      <c r="Q740" s="12"/>
      <c r="R740" s="12"/>
      <c r="S740" s="12"/>
      <c r="T740" s="12"/>
      <c r="U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32"/>
      <c r="O741" s="32"/>
      <c r="P741" s="12"/>
      <c r="Q741" s="12"/>
      <c r="R741" s="12"/>
      <c r="S741" s="12"/>
      <c r="T741" s="12"/>
      <c r="U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32"/>
      <c r="O742" s="32"/>
      <c r="P742" s="12"/>
      <c r="Q742" s="12"/>
      <c r="R742" s="12"/>
      <c r="S742" s="12"/>
      <c r="T742" s="12"/>
      <c r="U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32"/>
      <c r="O743" s="32"/>
      <c r="P743" s="12"/>
      <c r="Q743" s="12"/>
      <c r="R743" s="12"/>
      <c r="S743" s="12"/>
      <c r="T743" s="12"/>
      <c r="U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32"/>
      <c r="O744" s="32"/>
      <c r="P744" s="12"/>
      <c r="Q744" s="12"/>
      <c r="R744" s="12"/>
      <c r="S744" s="12"/>
      <c r="T744" s="12"/>
      <c r="U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32"/>
      <c r="O745" s="32"/>
      <c r="P745" s="12"/>
      <c r="Q745" s="12"/>
      <c r="R745" s="12"/>
      <c r="S745" s="12"/>
      <c r="T745" s="12"/>
      <c r="U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32"/>
      <c r="O746" s="32"/>
      <c r="P746" s="12"/>
      <c r="Q746" s="12"/>
      <c r="R746" s="12"/>
      <c r="S746" s="12"/>
      <c r="T746" s="12"/>
      <c r="U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32"/>
      <c r="O747" s="32"/>
      <c r="P747" s="12"/>
      <c r="Q747" s="12"/>
      <c r="R747" s="12"/>
      <c r="S747" s="12"/>
      <c r="T747" s="12"/>
      <c r="U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32"/>
      <c r="O748" s="32"/>
      <c r="P748" s="12"/>
      <c r="Q748" s="12"/>
      <c r="R748" s="12"/>
      <c r="S748" s="12"/>
      <c r="T748" s="12"/>
      <c r="U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32"/>
      <c r="O749" s="32"/>
      <c r="P749" s="12"/>
      <c r="Q749" s="12"/>
      <c r="R749" s="12"/>
      <c r="S749" s="12"/>
      <c r="T749" s="12"/>
      <c r="U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32"/>
      <c r="O750" s="32"/>
      <c r="P750" s="12"/>
      <c r="Q750" s="12"/>
      <c r="R750" s="12"/>
      <c r="S750" s="12"/>
      <c r="T750" s="12"/>
      <c r="U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32"/>
      <c r="O751" s="32"/>
      <c r="P751" s="12"/>
      <c r="Q751" s="12"/>
      <c r="R751" s="12"/>
      <c r="S751" s="12"/>
      <c r="T751" s="12"/>
      <c r="U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32"/>
      <c r="O752" s="32"/>
      <c r="P752" s="12"/>
      <c r="Q752" s="12"/>
      <c r="R752" s="12"/>
      <c r="S752" s="12"/>
      <c r="T752" s="12"/>
      <c r="U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32"/>
      <c r="O753" s="32"/>
      <c r="P753" s="12"/>
      <c r="Q753" s="12"/>
      <c r="R753" s="12"/>
      <c r="S753" s="12"/>
      <c r="T753" s="12"/>
      <c r="U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32"/>
      <c r="O754" s="32"/>
      <c r="P754" s="12"/>
      <c r="Q754" s="12"/>
      <c r="R754" s="12"/>
      <c r="S754" s="12"/>
      <c r="T754" s="12"/>
      <c r="U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32"/>
      <c r="O755" s="32"/>
      <c r="P755" s="12"/>
      <c r="Q755" s="12"/>
      <c r="R755" s="12"/>
      <c r="S755" s="12"/>
      <c r="T755" s="12"/>
      <c r="U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32"/>
      <c r="O756" s="32"/>
      <c r="P756" s="12"/>
      <c r="Q756" s="12"/>
      <c r="R756" s="12"/>
      <c r="S756" s="12"/>
      <c r="T756" s="12"/>
      <c r="U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32"/>
      <c r="O757" s="32"/>
      <c r="P757" s="12"/>
      <c r="Q757" s="12"/>
      <c r="R757" s="12"/>
      <c r="S757" s="12"/>
      <c r="T757" s="12"/>
      <c r="U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32"/>
      <c r="O758" s="32"/>
      <c r="P758" s="12"/>
      <c r="Q758" s="12"/>
      <c r="R758" s="12"/>
      <c r="S758" s="12"/>
      <c r="T758" s="12"/>
      <c r="U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32"/>
      <c r="O759" s="32"/>
      <c r="P759" s="12"/>
      <c r="Q759" s="12"/>
      <c r="R759" s="12"/>
      <c r="S759" s="12"/>
      <c r="T759" s="12"/>
      <c r="U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32"/>
      <c r="O760" s="32"/>
      <c r="P760" s="12"/>
      <c r="Q760" s="12"/>
      <c r="R760" s="12"/>
      <c r="S760" s="12"/>
      <c r="T760" s="12"/>
      <c r="U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32"/>
      <c r="O761" s="32"/>
      <c r="P761" s="12"/>
      <c r="Q761" s="12"/>
      <c r="R761" s="12"/>
      <c r="S761" s="12"/>
      <c r="T761" s="12"/>
      <c r="U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32"/>
      <c r="O762" s="32"/>
      <c r="P762" s="12"/>
      <c r="Q762" s="12"/>
      <c r="R762" s="12"/>
      <c r="S762" s="12"/>
      <c r="T762" s="12"/>
      <c r="U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32"/>
      <c r="O763" s="32"/>
      <c r="P763" s="12"/>
      <c r="Q763" s="12"/>
      <c r="R763" s="12"/>
      <c r="S763" s="12"/>
      <c r="T763" s="12"/>
      <c r="U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32"/>
      <c r="O764" s="32"/>
      <c r="P764" s="12"/>
      <c r="Q764" s="12"/>
      <c r="R764" s="12"/>
      <c r="S764" s="12"/>
      <c r="T764" s="12"/>
      <c r="U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32"/>
      <c r="O765" s="32"/>
      <c r="P765" s="12"/>
      <c r="Q765" s="12"/>
      <c r="R765" s="12"/>
      <c r="S765" s="12"/>
      <c r="T765" s="12"/>
      <c r="U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32"/>
      <c r="O766" s="32"/>
      <c r="P766" s="12"/>
      <c r="Q766" s="12"/>
      <c r="R766" s="12"/>
      <c r="S766" s="12"/>
      <c r="T766" s="12"/>
      <c r="U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32"/>
      <c r="O767" s="32"/>
      <c r="P767" s="12"/>
      <c r="Q767" s="12"/>
      <c r="R767" s="12"/>
      <c r="S767" s="12"/>
      <c r="T767" s="12"/>
      <c r="U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32"/>
      <c r="O768" s="32"/>
      <c r="P768" s="12"/>
      <c r="Q768" s="12"/>
      <c r="R768" s="12"/>
      <c r="S768" s="12"/>
      <c r="T768" s="12"/>
      <c r="U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32"/>
      <c r="O769" s="32"/>
      <c r="P769" s="12"/>
      <c r="Q769" s="12"/>
      <c r="R769" s="12"/>
      <c r="S769" s="12"/>
      <c r="T769" s="12"/>
      <c r="U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32"/>
      <c r="O770" s="32"/>
      <c r="P770" s="12"/>
      <c r="Q770" s="12"/>
      <c r="R770" s="12"/>
      <c r="S770" s="12"/>
      <c r="T770" s="12"/>
      <c r="U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32"/>
      <c r="O771" s="32"/>
      <c r="P771" s="12"/>
      <c r="Q771" s="12"/>
      <c r="R771" s="12"/>
      <c r="S771" s="12"/>
      <c r="T771" s="12"/>
      <c r="U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32"/>
      <c r="O772" s="32"/>
      <c r="P772" s="12"/>
      <c r="Q772" s="12"/>
      <c r="R772" s="12"/>
      <c r="S772" s="12"/>
      <c r="T772" s="12"/>
      <c r="U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32"/>
      <c r="O773" s="32"/>
      <c r="P773" s="12"/>
      <c r="Q773" s="12"/>
      <c r="R773" s="12"/>
      <c r="S773" s="12"/>
      <c r="T773" s="12"/>
      <c r="U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32"/>
      <c r="O774" s="32"/>
      <c r="P774" s="12"/>
      <c r="Q774" s="12"/>
      <c r="R774" s="12"/>
      <c r="S774" s="12"/>
      <c r="T774" s="12"/>
      <c r="U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32"/>
      <c r="O775" s="32"/>
      <c r="P775" s="12"/>
      <c r="Q775" s="12"/>
      <c r="R775" s="12"/>
      <c r="S775" s="12"/>
      <c r="T775" s="12"/>
      <c r="U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32"/>
      <c r="O776" s="32"/>
      <c r="P776" s="12"/>
      <c r="Q776" s="12"/>
      <c r="R776" s="12"/>
      <c r="S776" s="12"/>
      <c r="T776" s="12"/>
      <c r="U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32"/>
      <c r="O777" s="32"/>
      <c r="P777" s="12"/>
      <c r="Q777" s="12"/>
      <c r="R777" s="12"/>
      <c r="S777" s="12"/>
      <c r="T777" s="12"/>
      <c r="U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32"/>
      <c r="O778" s="32"/>
      <c r="P778" s="12"/>
      <c r="Q778" s="12"/>
      <c r="R778" s="12"/>
      <c r="S778" s="12"/>
      <c r="T778" s="12"/>
      <c r="U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32"/>
      <c r="O779" s="32"/>
      <c r="P779" s="12"/>
      <c r="Q779" s="12"/>
      <c r="R779" s="12"/>
      <c r="S779" s="12"/>
      <c r="T779" s="12"/>
      <c r="U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32"/>
      <c r="O780" s="32"/>
      <c r="P780" s="12"/>
      <c r="Q780" s="12"/>
      <c r="R780" s="12"/>
      <c r="S780" s="12"/>
      <c r="T780" s="12"/>
      <c r="U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32"/>
      <c r="O781" s="32"/>
      <c r="P781" s="12"/>
      <c r="Q781" s="12"/>
      <c r="R781" s="12"/>
      <c r="S781" s="12"/>
      <c r="T781" s="12"/>
      <c r="U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32"/>
      <c r="O782" s="32"/>
      <c r="P782" s="12"/>
      <c r="Q782" s="12"/>
      <c r="R782" s="12"/>
      <c r="S782" s="12"/>
      <c r="T782" s="12"/>
      <c r="U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32"/>
      <c r="O783" s="32"/>
      <c r="P783" s="12"/>
      <c r="Q783" s="12"/>
      <c r="R783" s="12"/>
      <c r="S783" s="12"/>
      <c r="T783" s="12"/>
      <c r="U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32"/>
      <c r="O784" s="32"/>
      <c r="P784" s="12"/>
      <c r="Q784" s="12"/>
      <c r="R784" s="12"/>
      <c r="S784" s="12"/>
      <c r="T784" s="12"/>
      <c r="U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32"/>
      <c r="O785" s="32"/>
      <c r="P785" s="12"/>
      <c r="Q785" s="12"/>
      <c r="R785" s="12"/>
      <c r="S785" s="12"/>
      <c r="T785" s="12"/>
      <c r="U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32"/>
      <c r="O786" s="32"/>
      <c r="P786" s="12"/>
      <c r="Q786" s="12"/>
      <c r="R786" s="12"/>
      <c r="S786" s="12"/>
      <c r="T786" s="12"/>
      <c r="U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32"/>
      <c r="O787" s="32"/>
      <c r="P787" s="12"/>
      <c r="Q787" s="12"/>
      <c r="R787" s="12"/>
      <c r="S787" s="12"/>
      <c r="T787" s="12"/>
      <c r="U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32"/>
      <c r="O788" s="32"/>
      <c r="P788" s="12"/>
      <c r="Q788" s="12"/>
      <c r="R788" s="12"/>
      <c r="S788" s="12"/>
      <c r="T788" s="12"/>
      <c r="U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32"/>
      <c r="O789" s="32"/>
      <c r="P789" s="12"/>
      <c r="Q789" s="12"/>
      <c r="R789" s="12"/>
      <c r="S789" s="12"/>
      <c r="T789" s="12"/>
      <c r="U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32"/>
      <c r="O790" s="32"/>
      <c r="P790" s="12"/>
      <c r="Q790" s="12"/>
      <c r="R790" s="12"/>
      <c r="S790" s="12"/>
      <c r="T790" s="12"/>
      <c r="U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32"/>
      <c r="O791" s="32"/>
      <c r="P791" s="12"/>
      <c r="Q791" s="12"/>
      <c r="R791" s="12"/>
      <c r="S791" s="12"/>
      <c r="T791" s="12"/>
      <c r="U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32"/>
      <c r="O792" s="32"/>
      <c r="P792" s="12"/>
      <c r="Q792" s="12"/>
      <c r="R792" s="12"/>
      <c r="S792" s="12"/>
      <c r="T792" s="12"/>
      <c r="U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32"/>
      <c r="O793" s="32"/>
      <c r="P793" s="12"/>
      <c r="Q793" s="12"/>
      <c r="R793" s="12"/>
      <c r="S793" s="12"/>
      <c r="T793" s="12"/>
      <c r="U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32"/>
      <c r="O794" s="32"/>
      <c r="P794" s="12"/>
      <c r="Q794" s="12"/>
      <c r="R794" s="12"/>
      <c r="S794" s="12"/>
      <c r="T794" s="12"/>
      <c r="U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32"/>
      <c r="O795" s="32"/>
      <c r="P795" s="12"/>
      <c r="Q795" s="12"/>
      <c r="R795" s="12"/>
      <c r="S795" s="12"/>
      <c r="T795" s="12"/>
      <c r="U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32"/>
      <c r="O796" s="32"/>
      <c r="P796" s="12"/>
      <c r="Q796" s="12"/>
      <c r="R796" s="12"/>
      <c r="S796" s="12"/>
      <c r="T796" s="12"/>
      <c r="U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32"/>
      <c r="O797" s="32"/>
      <c r="P797" s="12"/>
      <c r="Q797" s="12"/>
      <c r="R797" s="12"/>
      <c r="S797" s="12"/>
      <c r="T797" s="12"/>
      <c r="U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32"/>
      <c r="O798" s="32"/>
      <c r="P798" s="12"/>
      <c r="Q798" s="12"/>
      <c r="R798" s="12"/>
      <c r="S798" s="12"/>
      <c r="T798" s="12"/>
      <c r="U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32"/>
      <c r="O799" s="32"/>
      <c r="P799" s="12"/>
      <c r="Q799" s="12"/>
      <c r="R799" s="12"/>
      <c r="S799" s="12"/>
      <c r="T799" s="12"/>
      <c r="U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32"/>
      <c r="O800" s="32"/>
      <c r="P800" s="12"/>
      <c r="Q800" s="12"/>
      <c r="R800" s="12"/>
      <c r="S800" s="12"/>
      <c r="T800" s="12"/>
      <c r="U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32"/>
      <c r="O801" s="32"/>
      <c r="P801" s="12"/>
      <c r="Q801" s="12"/>
      <c r="R801" s="12"/>
      <c r="S801" s="12"/>
      <c r="T801" s="12"/>
      <c r="U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32"/>
      <c r="O802" s="32"/>
      <c r="P802" s="12"/>
      <c r="Q802" s="12"/>
      <c r="R802" s="12"/>
      <c r="S802" s="12"/>
      <c r="T802" s="12"/>
      <c r="U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32"/>
      <c r="O803" s="32"/>
      <c r="P803" s="12"/>
      <c r="Q803" s="12"/>
      <c r="R803" s="12"/>
      <c r="S803" s="12"/>
      <c r="T803" s="12"/>
      <c r="U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32"/>
      <c r="O804" s="32"/>
      <c r="P804" s="12"/>
      <c r="Q804" s="12"/>
      <c r="R804" s="12"/>
      <c r="S804" s="12"/>
      <c r="T804" s="12"/>
      <c r="U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32"/>
      <c r="O805" s="32"/>
      <c r="P805" s="12"/>
      <c r="Q805" s="12"/>
      <c r="R805" s="12"/>
      <c r="S805" s="12"/>
      <c r="T805" s="12"/>
      <c r="U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32"/>
      <c r="O806" s="32"/>
      <c r="P806" s="12"/>
      <c r="Q806" s="12"/>
      <c r="R806" s="12"/>
      <c r="S806" s="12"/>
      <c r="T806" s="12"/>
      <c r="U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32"/>
      <c r="O807" s="32"/>
      <c r="P807" s="12"/>
      <c r="Q807" s="12"/>
      <c r="R807" s="12"/>
      <c r="S807" s="12"/>
      <c r="T807" s="12"/>
      <c r="U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32"/>
      <c r="O808" s="32"/>
      <c r="P808" s="12"/>
      <c r="Q808" s="12"/>
      <c r="R808" s="12"/>
      <c r="S808" s="12"/>
      <c r="T808" s="12"/>
      <c r="U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32"/>
      <c r="O809" s="32"/>
      <c r="P809" s="12"/>
      <c r="Q809" s="12"/>
      <c r="R809" s="12"/>
      <c r="S809" s="12"/>
      <c r="T809" s="12"/>
      <c r="U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32"/>
      <c r="O810" s="32"/>
      <c r="P810" s="12"/>
      <c r="Q810" s="12"/>
      <c r="R810" s="12"/>
      <c r="S810" s="12"/>
      <c r="T810" s="12"/>
      <c r="U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32"/>
      <c r="O811" s="32"/>
      <c r="P811" s="12"/>
      <c r="Q811" s="12"/>
      <c r="R811" s="12"/>
      <c r="S811" s="12"/>
      <c r="T811" s="12"/>
      <c r="U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32"/>
      <c r="O812" s="32"/>
      <c r="P812" s="12"/>
      <c r="Q812" s="12"/>
      <c r="R812" s="12"/>
      <c r="S812" s="12"/>
      <c r="T812" s="12"/>
      <c r="U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32"/>
      <c r="O813" s="32"/>
      <c r="P813" s="12"/>
      <c r="Q813" s="12"/>
      <c r="R813" s="12"/>
      <c r="S813" s="12"/>
      <c r="T813" s="12"/>
      <c r="U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32"/>
      <c r="O814" s="32"/>
      <c r="P814" s="12"/>
      <c r="Q814" s="12"/>
      <c r="R814" s="12"/>
      <c r="S814" s="12"/>
      <c r="T814" s="12"/>
      <c r="U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32"/>
      <c r="O815" s="32"/>
      <c r="P815" s="12"/>
      <c r="Q815" s="12"/>
      <c r="R815" s="12"/>
      <c r="S815" s="12"/>
      <c r="T815" s="12"/>
      <c r="U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32"/>
      <c r="O816" s="32"/>
      <c r="P816" s="12"/>
      <c r="Q816" s="12"/>
      <c r="R816" s="12"/>
      <c r="S816" s="12"/>
      <c r="T816" s="12"/>
      <c r="U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32"/>
      <c r="O817" s="32"/>
      <c r="P817" s="12"/>
      <c r="Q817" s="12"/>
      <c r="R817" s="12"/>
      <c r="S817" s="12"/>
      <c r="T817" s="12"/>
      <c r="U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32"/>
      <c r="O818" s="32"/>
      <c r="P818" s="12"/>
      <c r="Q818" s="12"/>
      <c r="R818" s="12"/>
      <c r="S818" s="12"/>
      <c r="T818" s="12"/>
      <c r="U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32"/>
      <c r="O819" s="32"/>
      <c r="P819" s="12"/>
      <c r="Q819" s="12"/>
      <c r="R819" s="12"/>
      <c r="S819" s="12"/>
      <c r="T819" s="12"/>
      <c r="U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32"/>
      <c r="O820" s="32"/>
      <c r="P820" s="12"/>
      <c r="Q820" s="12"/>
      <c r="R820" s="12"/>
      <c r="S820" s="12"/>
      <c r="T820" s="12"/>
      <c r="U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32"/>
      <c r="O821" s="32"/>
      <c r="P821" s="12"/>
      <c r="Q821" s="12"/>
      <c r="R821" s="12"/>
      <c r="S821" s="12"/>
      <c r="T821" s="12"/>
      <c r="U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32"/>
      <c r="O822" s="32"/>
      <c r="P822" s="12"/>
      <c r="Q822" s="12"/>
      <c r="R822" s="12"/>
      <c r="S822" s="12"/>
      <c r="T822" s="12"/>
      <c r="U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32"/>
      <c r="O823" s="32"/>
      <c r="P823" s="12"/>
      <c r="Q823" s="12"/>
      <c r="R823" s="12"/>
      <c r="S823" s="12"/>
      <c r="T823" s="12"/>
      <c r="U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32"/>
      <c r="O824" s="32"/>
      <c r="P824" s="12"/>
      <c r="Q824" s="12"/>
      <c r="R824" s="12"/>
      <c r="S824" s="12"/>
      <c r="T824" s="12"/>
      <c r="U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32"/>
      <c r="O825" s="32"/>
      <c r="P825" s="12"/>
      <c r="Q825" s="12"/>
      <c r="R825" s="12"/>
      <c r="S825" s="12"/>
      <c r="T825" s="12"/>
      <c r="U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32"/>
      <c r="O826" s="32"/>
      <c r="P826" s="12"/>
      <c r="Q826" s="12"/>
      <c r="R826" s="12"/>
      <c r="S826" s="12"/>
      <c r="T826" s="12"/>
      <c r="U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32"/>
      <c r="O827" s="32"/>
      <c r="P827" s="12"/>
      <c r="Q827" s="12"/>
      <c r="R827" s="12"/>
      <c r="S827" s="12"/>
      <c r="T827" s="12"/>
      <c r="U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32"/>
      <c r="O828" s="32"/>
      <c r="P828" s="12"/>
      <c r="Q828" s="12"/>
      <c r="R828" s="12"/>
      <c r="S828" s="12"/>
      <c r="T828" s="12"/>
      <c r="U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32"/>
      <c r="O829" s="32"/>
      <c r="P829" s="12"/>
      <c r="Q829" s="12"/>
      <c r="R829" s="12"/>
      <c r="S829" s="12"/>
      <c r="T829" s="12"/>
      <c r="U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32"/>
      <c r="O830" s="32"/>
      <c r="P830" s="12"/>
      <c r="Q830" s="12"/>
      <c r="R830" s="12"/>
      <c r="S830" s="12"/>
      <c r="T830" s="12"/>
      <c r="U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32"/>
      <c r="O831" s="32"/>
      <c r="P831" s="12"/>
      <c r="Q831" s="12"/>
      <c r="R831" s="12"/>
      <c r="S831" s="12"/>
      <c r="T831" s="12"/>
      <c r="U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32"/>
      <c r="O832" s="32"/>
      <c r="P832" s="12"/>
      <c r="Q832" s="12"/>
      <c r="R832" s="12"/>
      <c r="S832" s="12"/>
      <c r="T832" s="12"/>
      <c r="U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32"/>
      <c r="O833" s="32"/>
      <c r="P833" s="12"/>
      <c r="Q833" s="12"/>
      <c r="R833" s="12"/>
      <c r="S833" s="12"/>
      <c r="T833" s="12"/>
      <c r="U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32"/>
      <c r="O834" s="32"/>
      <c r="P834" s="12"/>
      <c r="Q834" s="12"/>
      <c r="R834" s="12"/>
      <c r="S834" s="12"/>
      <c r="T834" s="12"/>
      <c r="U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32"/>
      <c r="O835" s="32"/>
      <c r="P835" s="12"/>
      <c r="Q835" s="12"/>
      <c r="R835" s="12"/>
      <c r="S835" s="12"/>
      <c r="T835" s="12"/>
      <c r="U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32"/>
      <c r="O836" s="32"/>
      <c r="P836" s="12"/>
      <c r="Q836" s="12"/>
      <c r="R836" s="12"/>
      <c r="S836" s="12"/>
      <c r="T836" s="12"/>
      <c r="U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32"/>
      <c r="O837" s="32"/>
      <c r="P837" s="12"/>
      <c r="Q837" s="12"/>
      <c r="R837" s="12"/>
      <c r="S837" s="12"/>
      <c r="T837" s="12"/>
      <c r="U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32"/>
      <c r="O838" s="32"/>
      <c r="P838" s="12"/>
      <c r="Q838" s="12"/>
      <c r="R838" s="12"/>
      <c r="S838" s="12"/>
      <c r="T838" s="12"/>
      <c r="U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32"/>
      <c r="O839" s="32"/>
      <c r="P839" s="12"/>
      <c r="Q839" s="12"/>
      <c r="R839" s="12"/>
      <c r="S839" s="12"/>
      <c r="T839" s="12"/>
      <c r="U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32"/>
      <c r="O840" s="32"/>
      <c r="P840" s="12"/>
      <c r="Q840" s="12"/>
      <c r="R840" s="12"/>
      <c r="S840" s="12"/>
      <c r="T840" s="12"/>
      <c r="U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32"/>
      <c r="O841" s="32"/>
      <c r="P841" s="12"/>
      <c r="Q841" s="12"/>
      <c r="R841" s="12"/>
      <c r="S841" s="12"/>
      <c r="T841" s="12"/>
      <c r="U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32"/>
      <c r="O842" s="32"/>
      <c r="P842" s="12"/>
      <c r="Q842" s="12"/>
      <c r="R842" s="12"/>
      <c r="S842" s="12"/>
      <c r="T842" s="12"/>
      <c r="U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32"/>
      <c r="O843" s="32"/>
      <c r="P843" s="12"/>
      <c r="Q843" s="12"/>
      <c r="R843" s="12"/>
      <c r="S843" s="12"/>
      <c r="T843" s="12"/>
      <c r="U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32"/>
      <c r="O844" s="32"/>
      <c r="P844" s="12"/>
      <c r="Q844" s="12"/>
      <c r="R844" s="12"/>
      <c r="S844" s="12"/>
      <c r="T844" s="12"/>
      <c r="U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32"/>
      <c r="O845" s="32"/>
      <c r="P845" s="12"/>
      <c r="Q845" s="12"/>
      <c r="R845" s="12"/>
      <c r="S845" s="12"/>
      <c r="T845" s="12"/>
      <c r="U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32"/>
      <c r="O846" s="32"/>
      <c r="P846" s="12"/>
      <c r="Q846" s="12"/>
      <c r="R846" s="12"/>
      <c r="S846" s="12"/>
      <c r="T846" s="12"/>
      <c r="U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32"/>
      <c r="O847" s="32"/>
      <c r="P847" s="12"/>
      <c r="Q847" s="12"/>
      <c r="R847" s="12"/>
      <c r="S847" s="12"/>
      <c r="T847" s="12"/>
      <c r="U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32"/>
      <c r="O848" s="32"/>
      <c r="P848" s="12"/>
      <c r="Q848" s="12"/>
      <c r="R848" s="12"/>
      <c r="S848" s="12"/>
      <c r="T848" s="12"/>
      <c r="U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32"/>
      <c r="O849" s="32"/>
      <c r="P849" s="12"/>
      <c r="Q849" s="12"/>
      <c r="R849" s="12"/>
      <c r="S849" s="12"/>
      <c r="T849" s="12"/>
      <c r="U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32"/>
      <c r="O850" s="32"/>
      <c r="P850" s="12"/>
      <c r="Q850" s="12"/>
      <c r="R850" s="12"/>
      <c r="S850" s="12"/>
      <c r="T850" s="12"/>
      <c r="U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32"/>
      <c r="O851" s="32"/>
      <c r="P851" s="12"/>
      <c r="Q851" s="12"/>
      <c r="R851" s="12"/>
      <c r="S851" s="12"/>
      <c r="T851" s="12"/>
      <c r="U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32"/>
      <c r="O852" s="32"/>
      <c r="P852" s="12"/>
      <c r="Q852" s="12"/>
      <c r="R852" s="12"/>
      <c r="S852" s="12"/>
      <c r="T852" s="12"/>
      <c r="U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32"/>
      <c r="O853" s="32"/>
      <c r="P853" s="12"/>
      <c r="Q853" s="12"/>
      <c r="R853" s="12"/>
      <c r="S853" s="12"/>
      <c r="T853" s="12"/>
      <c r="U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32"/>
      <c r="O854" s="32"/>
      <c r="P854" s="12"/>
      <c r="Q854" s="12"/>
      <c r="R854" s="12"/>
      <c r="S854" s="12"/>
      <c r="T854" s="12"/>
      <c r="U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32"/>
      <c r="O855" s="32"/>
      <c r="P855" s="12"/>
      <c r="Q855" s="12"/>
      <c r="R855" s="12"/>
      <c r="S855" s="12"/>
      <c r="T855" s="12"/>
      <c r="U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32"/>
      <c r="O856" s="32"/>
      <c r="P856" s="12"/>
      <c r="Q856" s="12"/>
      <c r="R856" s="12"/>
      <c r="S856" s="12"/>
      <c r="T856" s="12"/>
      <c r="U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32"/>
      <c r="O857" s="32"/>
      <c r="P857" s="12"/>
      <c r="Q857" s="12"/>
      <c r="R857" s="12"/>
      <c r="S857" s="12"/>
      <c r="T857" s="12"/>
      <c r="U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32"/>
      <c r="O858" s="32"/>
      <c r="P858" s="12"/>
      <c r="Q858" s="12"/>
      <c r="R858" s="12"/>
      <c r="S858" s="12"/>
      <c r="T858" s="12"/>
      <c r="U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32"/>
      <c r="O859" s="32"/>
      <c r="P859" s="12"/>
      <c r="Q859" s="12"/>
      <c r="R859" s="12"/>
      <c r="S859" s="12"/>
      <c r="T859" s="12"/>
      <c r="U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32"/>
      <c r="O860" s="32"/>
      <c r="P860" s="12"/>
      <c r="Q860" s="12"/>
      <c r="R860" s="12"/>
      <c r="S860" s="12"/>
      <c r="T860" s="12"/>
      <c r="U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32"/>
      <c r="O861" s="32"/>
      <c r="P861" s="12"/>
      <c r="Q861" s="12"/>
      <c r="R861" s="12"/>
      <c r="S861" s="12"/>
      <c r="T861" s="12"/>
      <c r="U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32"/>
      <c r="O862" s="32"/>
      <c r="P862" s="12"/>
      <c r="Q862" s="12"/>
      <c r="R862" s="12"/>
      <c r="S862" s="12"/>
      <c r="T862" s="12"/>
      <c r="U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32"/>
      <c r="O863" s="32"/>
      <c r="P863" s="12"/>
      <c r="Q863" s="12"/>
      <c r="R863" s="12"/>
      <c r="S863" s="12"/>
      <c r="T863" s="12"/>
      <c r="U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32"/>
      <c r="O864" s="32"/>
      <c r="P864" s="12"/>
      <c r="Q864" s="12"/>
      <c r="R864" s="12"/>
      <c r="S864" s="12"/>
      <c r="T864" s="12"/>
      <c r="U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32"/>
      <c r="O865" s="32"/>
      <c r="P865" s="12"/>
      <c r="Q865" s="12"/>
      <c r="R865" s="12"/>
      <c r="S865" s="12"/>
      <c r="T865" s="12"/>
      <c r="U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32"/>
      <c r="O866" s="32"/>
      <c r="P866" s="12"/>
      <c r="Q866" s="12"/>
      <c r="R866" s="12"/>
      <c r="S866" s="12"/>
      <c r="T866" s="12"/>
      <c r="U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32"/>
      <c r="O867" s="32"/>
      <c r="P867" s="12"/>
      <c r="Q867" s="12"/>
      <c r="R867" s="12"/>
      <c r="S867" s="12"/>
      <c r="T867" s="12"/>
      <c r="U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32"/>
      <c r="O868" s="32"/>
      <c r="P868" s="12"/>
      <c r="Q868" s="12"/>
      <c r="R868" s="12"/>
      <c r="S868" s="12"/>
      <c r="T868" s="12"/>
      <c r="U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32"/>
      <c r="O869" s="32"/>
      <c r="P869" s="12"/>
      <c r="Q869" s="12"/>
      <c r="R869" s="12"/>
      <c r="S869" s="12"/>
      <c r="T869" s="12"/>
      <c r="U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32"/>
      <c r="O870" s="32"/>
      <c r="P870" s="12"/>
      <c r="Q870" s="12"/>
      <c r="R870" s="12"/>
      <c r="S870" s="12"/>
      <c r="T870" s="12"/>
      <c r="U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32"/>
      <c r="O871" s="32"/>
      <c r="P871" s="12"/>
      <c r="Q871" s="12"/>
      <c r="R871" s="12"/>
      <c r="S871" s="12"/>
      <c r="T871" s="12"/>
      <c r="U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32"/>
      <c r="O872" s="32"/>
      <c r="P872" s="12"/>
      <c r="Q872" s="12"/>
      <c r="R872" s="12"/>
      <c r="S872" s="12"/>
      <c r="T872" s="12"/>
      <c r="U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32"/>
      <c r="O873" s="32"/>
      <c r="P873" s="12"/>
      <c r="Q873" s="12"/>
      <c r="R873" s="12"/>
      <c r="S873" s="12"/>
      <c r="T873" s="12"/>
      <c r="U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32"/>
      <c r="O874" s="32"/>
      <c r="P874" s="12"/>
      <c r="Q874" s="12"/>
      <c r="R874" s="12"/>
      <c r="S874" s="12"/>
      <c r="T874" s="12"/>
      <c r="U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32"/>
      <c r="O875" s="32"/>
      <c r="P875" s="12"/>
      <c r="Q875" s="12"/>
      <c r="R875" s="12"/>
      <c r="S875" s="12"/>
      <c r="T875" s="12"/>
      <c r="U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32"/>
      <c r="O876" s="32"/>
      <c r="P876" s="12"/>
      <c r="Q876" s="12"/>
      <c r="R876" s="12"/>
      <c r="S876" s="12"/>
      <c r="T876" s="12"/>
      <c r="U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32"/>
      <c r="O877" s="32"/>
      <c r="P877" s="12"/>
      <c r="Q877" s="12"/>
      <c r="R877" s="12"/>
      <c r="S877" s="12"/>
      <c r="T877" s="12"/>
      <c r="U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32"/>
      <c r="O878" s="32"/>
      <c r="P878" s="12"/>
      <c r="Q878" s="12"/>
      <c r="R878" s="12"/>
      <c r="S878" s="12"/>
      <c r="T878" s="12"/>
      <c r="U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32"/>
      <c r="O879" s="32"/>
      <c r="P879" s="12"/>
      <c r="Q879" s="12"/>
      <c r="R879" s="12"/>
      <c r="S879" s="12"/>
      <c r="T879" s="12"/>
      <c r="U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32"/>
      <c r="O880" s="32"/>
      <c r="P880" s="12"/>
      <c r="Q880" s="12"/>
      <c r="R880" s="12"/>
      <c r="S880" s="12"/>
      <c r="T880" s="12"/>
      <c r="U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32"/>
      <c r="O881" s="32"/>
      <c r="P881" s="12"/>
      <c r="Q881" s="12"/>
      <c r="R881" s="12"/>
      <c r="S881" s="12"/>
      <c r="T881" s="12"/>
      <c r="U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32"/>
      <c r="O882" s="32"/>
      <c r="P882" s="12"/>
      <c r="Q882" s="12"/>
      <c r="R882" s="12"/>
      <c r="S882" s="12"/>
      <c r="T882" s="12"/>
      <c r="U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32"/>
      <c r="O883" s="32"/>
      <c r="P883" s="12"/>
      <c r="Q883" s="12"/>
      <c r="R883" s="12"/>
      <c r="S883" s="12"/>
      <c r="T883" s="12"/>
      <c r="U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32"/>
      <c r="O884" s="32"/>
      <c r="P884" s="12"/>
      <c r="Q884" s="12"/>
      <c r="R884" s="12"/>
      <c r="S884" s="12"/>
      <c r="T884" s="12"/>
      <c r="U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32"/>
      <c r="O885" s="32"/>
      <c r="P885" s="12"/>
      <c r="Q885" s="12"/>
      <c r="R885" s="12"/>
      <c r="S885" s="12"/>
      <c r="T885" s="12"/>
      <c r="U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32"/>
      <c r="O886" s="32"/>
      <c r="P886" s="12"/>
      <c r="Q886" s="12"/>
      <c r="R886" s="12"/>
      <c r="S886" s="12"/>
      <c r="T886" s="12"/>
      <c r="U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32"/>
      <c r="O887" s="32"/>
      <c r="P887" s="12"/>
      <c r="Q887" s="12"/>
      <c r="R887" s="12"/>
      <c r="S887" s="12"/>
      <c r="T887" s="12"/>
      <c r="U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32"/>
      <c r="O888" s="32"/>
      <c r="P888" s="12"/>
      <c r="Q888" s="12"/>
      <c r="R888" s="12"/>
      <c r="S888" s="12"/>
      <c r="T888" s="12"/>
      <c r="U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32"/>
      <c r="O889" s="32"/>
      <c r="P889" s="12"/>
      <c r="Q889" s="12"/>
      <c r="R889" s="12"/>
      <c r="S889" s="12"/>
      <c r="T889" s="12"/>
      <c r="U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32"/>
      <c r="O890" s="32"/>
      <c r="P890" s="12"/>
      <c r="Q890" s="12"/>
      <c r="R890" s="12"/>
      <c r="S890" s="12"/>
      <c r="T890" s="12"/>
      <c r="U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32"/>
      <c r="O891" s="32"/>
      <c r="P891" s="12"/>
      <c r="Q891" s="12"/>
      <c r="R891" s="12"/>
      <c r="S891" s="12"/>
      <c r="T891" s="12"/>
      <c r="U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32"/>
      <c r="O892" s="32"/>
      <c r="P892" s="12"/>
      <c r="Q892" s="12"/>
      <c r="R892" s="12"/>
      <c r="S892" s="12"/>
      <c r="T892" s="12"/>
      <c r="U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32"/>
      <c r="O893" s="32"/>
      <c r="P893" s="12"/>
      <c r="Q893" s="12"/>
      <c r="R893" s="12"/>
      <c r="S893" s="12"/>
      <c r="T893" s="12"/>
      <c r="U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32"/>
      <c r="O894" s="32"/>
      <c r="P894" s="12"/>
      <c r="Q894" s="12"/>
      <c r="R894" s="12"/>
      <c r="S894" s="12"/>
      <c r="T894" s="12"/>
      <c r="U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32"/>
      <c r="O895" s="32"/>
      <c r="P895" s="12"/>
      <c r="Q895" s="12"/>
      <c r="R895" s="12"/>
      <c r="S895" s="12"/>
      <c r="T895" s="12"/>
      <c r="U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32"/>
      <c r="O896" s="32"/>
      <c r="P896" s="12"/>
      <c r="Q896" s="12"/>
      <c r="R896" s="12"/>
      <c r="S896" s="12"/>
      <c r="T896" s="12"/>
      <c r="U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32"/>
      <c r="O897" s="32"/>
      <c r="P897" s="12"/>
      <c r="Q897" s="12"/>
      <c r="R897" s="12"/>
      <c r="S897" s="12"/>
      <c r="T897" s="12"/>
      <c r="U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32"/>
      <c r="O898" s="32"/>
      <c r="P898" s="12"/>
      <c r="Q898" s="12"/>
      <c r="R898" s="12"/>
      <c r="S898" s="12"/>
      <c r="T898" s="12"/>
      <c r="U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32"/>
      <c r="O899" s="32"/>
      <c r="P899" s="12"/>
      <c r="Q899" s="12"/>
      <c r="R899" s="12"/>
      <c r="S899" s="12"/>
      <c r="T899" s="12"/>
      <c r="U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32"/>
      <c r="O900" s="32"/>
      <c r="P900" s="12"/>
      <c r="Q900" s="12"/>
      <c r="R900" s="12"/>
      <c r="S900" s="12"/>
      <c r="T900" s="12"/>
      <c r="U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32"/>
      <c r="O901" s="32"/>
      <c r="P901" s="12"/>
      <c r="Q901" s="12"/>
      <c r="R901" s="12"/>
      <c r="S901" s="12"/>
      <c r="T901" s="12"/>
      <c r="U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32"/>
      <c r="O902" s="32"/>
      <c r="P902" s="12"/>
      <c r="Q902" s="12"/>
      <c r="R902" s="12"/>
      <c r="S902" s="12"/>
      <c r="T902" s="12"/>
      <c r="U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32"/>
      <c r="O903" s="32"/>
      <c r="P903" s="12"/>
      <c r="Q903" s="12"/>
      <c r="R903" s="12"/>
      <c r="S903" s="12"/>
      <c r="T903" s="12"/>
      <c r="U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32"/>
      <c r="O904" s="32"/>
      <c r="P904" s="12"/>
      <c r="Q904" s="12"/>
      <c r="R904" s="12"/>
      <c r="S904" s="12"/>
      <c r="T904" s="12"/>
      <c r="U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32"/>
      <c r="O905" s="32"/>
      <c r="P905" s="12"/>
      <c r="Q905" s="12"/>
      <c r="R905" s="12"/>
      <c r="S905" s="12"/>
      <c r="T905" s="12"/>
      <c r="U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32"/>
      <c r="O906" s="32"/>
      <c r="P906" s="12"/>
      <c r="Q906" s="12"/>
      <c r="R906" s="12"/>
      <c r="S906" s="12"/>
      <c r="T906" s="12"/>
      <c r="U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32"/>
      <c r="O907" s="32"/>
      <c r="P907" s="12"/>
      <c r="Q907" s="12"/>
      <c r="R907" s="12"/>
      <c r="S907" s="12"/>
      <c r="T907" s="12"/>
      <c r="U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32"/>
      <c r="O908" s="32"/>
      <c r="P908" s="12"/>
      <c r="Q908" s="12"/>
      <c r="R908" s="12"/>
      <c r="S908" s="12"/>
      <c r="T908" s="12"/>
      <c r="U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32"/>
      <c r="O909" s="32"/>
      <c r="P909" s="12"/>
      <c r="Q909" s="12"/>
      <c r="R909" s="12"/>
      <c r="S909" s="12"/>
      <c r="T909" s="12"/>
      <c r="U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32"/>
      <c r="O910" s="32"/>
      <c r="P910" s="12"/>
      <c r="Q910" s="12"/>
      <c r="R910" s="12"/>
      <c r="S910" s="12"/>
      <c r="T910" s="12"/>
      <c r="U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32"/>
      <c r="O911" s="32"/>
      <c r="P911" s="12"/>
      <c r="Q911" s="12"/>
      <c r="R911" s="12"/>
      <c r="S911" s="12"/>
      <c r="T911" s="12"/>
      <c r="U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32"/>
      <c r="O912" s="32"/>
      <c r="P912" s="12"/>
      <c r="Q912" s="12"/>
      <c r="R912" s="12"/>
      <c r="S912" s="12"/>
      <c r="T912" s="12"/>
      <c r="U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32"/>
      <c r="O913" s="32"/>
      <c r="P913" s="12"/>
      <c r="Q913" s="12"/>
      <c r="R913" s="12"/>
      <c r="S913" s="12"/>
      <c r="T913" s="12"/>
      <c r="U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32"/>
      <c r="O914" s="32"/>
      <c r="P914" s="12"/>
      <c r="Q914" s="12"/>
      <c r="R914" s="12"/>
      <c r="S914" s="12"/>
      <c r="T914" s="12"/>
      <c r="U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32"/>
      <c r="O915" s="32"/>
      <c r="P915" s="12"/>
      <c r="Q915" s="12"/>
      <c r="R915" s="12"/>
      <c r="S915" s="12"/>
      <c r="T915" s="12"/>
      <c r="U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32"/>
      <c r="O916" s="32"/>
      <c r="P916" s="12"/>
      <c r="Q916" s="12"/>
      <c r="R916" s="12"/>
      <c r="S916" s="12"/>
      <c r="T916" s="12"/>
      <c r="U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32"/>
      <c r="O917" s="32"/>
      <c r="P917" s="12"/>
      <c r="Q917" s="12"/>
      <c r="R917" s="12"/>
      <c r="S917" s="12"/>
      <c r="T917" s="12"/>
      <c r="U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32"/>
      <c r="O918" s="32"/>
      <c r="P918" s="12"/>
      <c r="Q918" s="12"/>
      <c r="R918" s="12"/>
      <c r="S918" s="12"/>
      <c r="T918" s="12"/>
      <c r="U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32"/>
      <c r="O919" s="32"/>
      <c r="P919" s="12"/>
      <c r="Q919" s="12"/>
      <c r="R919" s="12"/>
      <c r="S919" s="12"/>
      <c r="T919" s="12"/>
      <c r="U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32"/>
      <c r="O920" s="32"/>
      <c r="P920" s="12"/>
      <c r="Q920" s="12"/>
      <c r="R920" s="12"/>
      <c r="S920" s="12"/>
      <c r="T920" s="12"/>
      <c r="U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32"/>
      <c r="O921" s="32"/>
      <c r="P921" s="12"/>
      <c r="Q921" s="12"/>
      <c r="R921" s="12"/>
      <c r="S921" s="12"/>
      <c r="T921" s="12"/>
      <c r="U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32"/>
      <c r="O922" s="32"/>
      <c r="P922" s="12"/>
      <c r="Q922" s="12"/>
      <c r="R922" s="12"/>
      <c r="S922" s="12"/>
      <c r="T922" s="12"/>
      <c r="U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32"/>
      <c r="O923" s="32"/>
      <c r="P923" s="12"/>
      <c r="Q923" s="12"/>
      <c r="R923" s="12"/>
      <c r="S923" s="12"/>
      <c r="T923" s="12"/>
      <c r="U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32"/>
      <c r="O924" s="32"/>
      <c r="P924" s="12"/>
      <c r="Q924" s="12"/>
      <c r="R924" s="12"/>
      <c r="S924" s="12"/>
      <c r="T924" s="12"/>
      <c r="U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32"/>
      <c r="O925" s="32"/>
      <c r="P925" s="12"/>
      <c r="Q925" s="12"/>
      <c r="R925" s="12"/>
      <c r="S925" s="12"/>
      <c r="T925" s="12"/>
      <c r="U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32"/>
      <c r="O926" s="32"/>
      <c r="P926" s="12"/>
      <c r="Q926" s="12"/>
      <c r="R926" s="12"/>
      <c r="S926" s="12"/>
      <c r="T926" s="12"/>
      <c r="U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32"/>
      <c r="O927" s="32"/>
      <c r="P927" s="12"/>
      <c r="Q927" s="12"/>
      <c r="R927" s="12"/>
      <c r="S927" s="12"/>
      <c r="T927" s="12"/>
      <c r="U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32"/>
      <c r="O928" s="32"/>
      <c r="P928" s="12"/>
      <c r="Q928" s="12"/>
      <c r="R928" s="12"/>
      <c r="S928" s="12"/>
      <c r="T928" s="12"/>
      <c r="U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32"/>
      <c r="O929" s="32"/>
      <c r="P929" s="12"/>
      <c r="Q929" s="12"/>
      <c r="R929" s="12"/>
      <c r="S929" s="12"/>
      <c r="T929" s="12"/>
      <c r="U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32"/>
      <c r="O930" s="32"/>
      <c r="P930" s="12"/>
      <c r="Q930" s="12"/>
      <c r="R930" s="12"/>
      <c r="S930" s="12"/>
      <c r="T930" s="12"/>
      <c r="U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32"/>
      <c r="O931" s="32"/>
      <c r="P931" s="12"/>
      <c r="Q931" s="12"/>
      <c r="R931" s="12"/>
      <c r="S931" s="12"/>
      <c r="T931" s="12"/>
      <c r="U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32"/>
      <c r="O932" s="32"/>
      <c r="P932" s="12"/>
      <c r="Q932" s="12"/>
      <c r="R932" s="12"/>
      <c r="S932" s="12"/>
      <c r="T932" s="12"/>
      <c r="U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32"/>
      <c r="O933" s="32"/>
      <c r="P933" s="12"/>
      <c r="Q933" s="12"/>
      <c r="R933" s="12"/>
      <c r="S933" s="12"/>
      <c r="T933" s="12"/>
      <c r="U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32"/>
      <c r="O934" s="32"/>
      <c r="P934" s="12"/>
      <c r="Q934" s="12"/>
      <c r="R934" s="12"/>
      <c r="S934" s="12"/>
      <c r="T934" s="12"/>
      <c r="U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32"/>
      <c r="O935" s="32"/>
      <c r="P935" s="12"/>
      <c r="Q935" s="12"/>
      <c r="R935" s="12"/>
      <c r="S935" s="12"/>
      <c r="T935" s="12"/>
      <c r="U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32"/>
      <c r="O936" s="32"/>
      <c r="P936" s="12"/>
      <c r="Q936" s="12"/>
      <c r="R936" s="12"/>
      <c r="S936" s="12"/>
      <c r="T936" s="12"/>
      <c r="U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32"/>
      <c r="O937" s="32"/>
      <c r="P937" s="12"/>
      <c r="Q937" s="12"/>
      <c r="R937" s="12"/>
      <c r="S937" s="12"/>
      <c r="T937" s="12"/>
      <c r="U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32"/>
      <c r="O938" s="32"/>
      <c r="P938" s="12"/>
      <c r="Q938" s="12"/>
      <c r="R938" s="12"/>
      <c r="S938" s="12"/>
      <c r="T938" s="12"/>
      <c r="U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32"/>
      <c r="O939" s="32"/>
      <c r="P939" s="12"/>
      <c r="Q939" s="12"/>
      <c r="R939" s="12"/>
      <c r="S939" s="12"/>
      <c r="T939" s="12"/>
      <c r="U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32"/>
      <c r="O940" s="32"/>
      <c r="P940" s="12"/>
      <c r="Q940" s="12"/>
      <c r="R940" s="12"/>
      <c r="S940" s="12"/>
      <c r="T940" s="12"/>
      <c r="U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32"/>
      <c r="O941" s="32"/>
      <c r="P941" s="12"/>
      <c r="Q941" s="12"/>
      <c r="R941" s="12"/>
      <c r="S941" s="12"/>
      <c r="T941" s="12"/>
      <c r="U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32"/>
      <c r="O942" s="32"/>
      <c r="P942" s="12"/>
      <c r="Q942" s="12"/>
      <c r="R942" s="12"/>
      <c r="S942" s="12"/>
      <c r="T942" s="12"/>
      <c r="U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32"/>
      <c r="O943" s="32"/>
      <c r="P943" s="12"/>
      <c r="Q943" s="12"/>
      <c r="R943" s="12"/>
      <c r="S943" s="12"/>
      <c r="T943" s="12"/>
      <c r="U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32"/>
      <c r="O944" s="32"/>
      <c r="P944" s="12"/>
      <c r="Q944" s="12"/>
      <c r="R944" s="12"/>
      <c r="S944" s="12"/>
      <c r="T944" s="12"/>
      <c r="U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32"/>
      <c r="O945" s="32"/>
      <c r="P945" s="12"/>
      <c r="Q945" s="12"/>
      <c r="R945" s="12"/>
      <c r="S945" s="12"/>
      <c r="T945" s="12"/>
      <c r="U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32"/>
      <c r="O946" s="32"/>
      <c r="P946" s="12"/>
      <c r="Q946" s="12"/>
      <c r="R946" s="12"/>
      <c r="S946" s="12"/>
      <c r="T946" s="12"/>
      <c r="U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32"/>
      <c r="O947" s="32"/>
      <c r="P947" s="12"/>
      <c r="Q947" s="12"/>
      <c r="R947" s="12"/>
      <c r="S947" s="12"/>
      <c r="T947" s="12"/>
      <c r="U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32"/>
      <c r="O948" s="32"/>
      <c r="P948" s="12"/>
      <c r="Q948" s="12"/>
      <c r="R948" s="12"/>
      <c r="S948" s="12"/>
      <c r="T948" s="12"/>
      <c r="U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32"/>
      <c r="O949" s="32"/>
      <c r="P949" s="12"/>
      <c r="Q949" s="12"/>
      <c r="R949" s="12"/>
      <c r="S949" s="12"/>
      <c r="T949" s="12"/>
      <c r="U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32"/>
      <c r="O950" s="32"/>
      <c r="P950" s="12"/>
      <c r="Q950" s="12"/>
      <c r="R950" s="12"/>
      <c r="S950" s="12"/>
      <c r="T950" s="12"/>
      <c r="U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32"/>
      <c r="O951" s="32"/>
      <c r="P951" s="12"/>
      <c r="Q951" s="12"/>
      <c r="R951" s="12"/>
      <c r="S951" s="12"/>
      <c r="T951" s="12"/>
      <c r="U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32"/>
      <c r="O952" s="32"/>
      <c r="P952" s="12"/>
      <c r="Q952" s="12"/>
      <c r="R952" s="12"/>
      <c r="S952" s="12"/>
      <c r="T952" s="12"/>
      <c r="U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32"/>
      <c r="O953" s="32"/>
      <c r="P953" s="12"/>
      <c r="Q953" s="12"/>
      <c r="R953" s="12"/>
      <c r="S953" s="12"/>
      <c r="T953" s="12"/>
      <c r="U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32"/>
      <c r="O954" s="32"/>
      <c r="P954" s="12"/>
      <c r="Q954" s="12"/>
      <c r="R954" s="12"/>
      <c r="S954" s="12"/>
      <c r="T954" s="12"/>
      <c r="U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32"/>
      <c r="O955" s="32"/>
      <c r="P955" s="12"/>
      <c r="Q955" s="12"/>
      <c r="R955" s="12"/>
      <c r="S955" s="12"/>
      <c r="T955" s="12"/>
      <c r="U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32"/>
      <c r="O956" s="32"/>
      <c r="P956" s="12"/>
      <c r="Q956" s="12"/>
      <c r="R956" s="12"/>
      <c r="S956" s="12"/>
      <c r="T956" s="12"/>
      <c r="U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32"/>
      <c r="O957" s="32"/>
      <c r="P957" s="12"/>
      <c r="Q957" s="12"/>
      <c r="R957" s="12"/>
      <c r="S957" s="12"/>
      <c r="T957" s="12"/>
      <c r="U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32"/>
      <c r="O958" s="32"/>
      <c r="P958" s="12"/>
      <c r="Q958" s="12"/>
      <c r="R958" s="12"/>
      <c r="S958" s="12"/>
      <c r="T958" s="12"/>
      <c r="U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32"/>
      <c r="O959" s="32"/>
      <c r="P959" s="12"/>
      <c r="Q959" s="12"/>
      <c r="R959" s="12"/>
      <c r="S959" s="12"/>
      <c r="T959" s="12"/>
      <c r="U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32"/>
      <c r="O960" s="32"/>
      <c r="P960" s="12"/>
      <c r="Q960" s="12"/>
      <c r="R960" s="12"/>
      <c r="S960" s="12"/>
      <c r="T960" s="12"/>
      <c r="U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32"/>
      <c r="O961" s="32"/>
      <c r="P961" s="12"/>
      <c r="Q961" s="12"/>
      <c r="R961" s="12"/>
      <c r="S961" s="12"/>
      <c r="T961" s="12"/>
      <c r="U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32"/>
      <c r="O962" s="32"/>
      <c r="P962" s="12"/>
      <c r="Q962" s="12"/>
      <c r="R962" s="12"/>
      <c r="S962" s="12"/>
      <c r="T962" s="12"/>
      <c r="U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32"/>
      <c r="O963" s="32"/>
      <c r="P963" s="12"/>
      <c r="Q963" s="12"/>
      <c r="R963" s="12"/>
      <c r="S963" s="12"/>
      <c r="T963" s="12"/>
      <c r="U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32"/>
      <c r="O964" s="32"/>
      <c r="P964" s="12"/>
      <c r="Q964" s="12"/>
      <c r="R964" s="12"/>
      <c r="S964" s="12"/>
      <c r="T964" s="12"/>
      <c r="U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32"/>
      <c r="O965" s="32"/>
      <c r="P965" s="12"/>
      <c r="Q965" s="12"/>
      <c r="R965" s="12"/>
      <c r="S965" s="12"/>
      <c r="T965" s="12"/>
      <c r="U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32"/>
      <c r="O966" s="32"/>
      <c r="P966" s="12"/>
      <c r="Q966" s="12"/>
      <c r="R966" s="12"/>
      <c r="S966" s="12"/>
      <c r="T966" s="12"/>
      <c r="U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32"/>
      <c r="O967" s="32"/>
      <c r="P967" s="12"/>
      <c r="Q967" s="12"/>
      <c r="R967" s="12"/>
      <c r="S967" s="12"/>
      <c r="T967" s="12"/>
      <c r="U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32"/>
      <c r="O968" s="32"/>
      <c r="P968" s="12"/>
      <c r="Q968" s="12"/>
      <c r="R968" s="12"/>
      <c r="S968" s="12"/>
      <c r="T968" s="12"/>
      <c r="U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32"/>
      <c r="O969" s="32"/>
      <c r="P969" s="12"/>
      <c r="Q969" s="12"/>
      <c r="R969" s="12"/>
      <c r="S969" s="12"/>
      <c r="T969" s="12"/>
      <c r="U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32"/>
      <c r="O970" s="32"/>
      <c r="P970" s="12"/>
      <c r="Q970" s="12"/>
      <c r="R970" s="12"/>
      <c r="S970" s="12"/>
      <c r="T970" s="12"/>
      <c r="U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32"/>
      <c r="O971" s="32"/>
      <c r="P971" s="12"/>
      <c r="Q971" s="12"/>
      <c r="R971" s="12"/>
      <c r="S971" s="12"/>
      <c r="T971" s="12"/>
      <c r="U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32"/>
      <c r="O972" s="32"/>
      <c r="P972" s="12"/>
      <c r="Q972" s="12"/>
      <c r="R972" s="12"/>
      <c r="S972" s="12"/>
      <c r="T972" s="12"/>
      <c r="U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32"/>
      <c r="O973" s="32"/>
      <c r="P973" s="12"/>
      <c r="Q973" s="12"/>
      <c r="R973" s="12"/>
      <c r="S973" s="12"/>
      <c r="T973" s="12"/>
      <c r="U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32"/>
      <c r="O974" s="32"/>
      <c r="P974" s="12"/>
      <c r="Q974" s="12"/>
      <c r="R974" s="12"/>
      <c r="S974" s="12"/>
      <c r="T974" s="12"/>
      <c r="U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32"/>
      <c r="O975" s="32"/>
      <c r="P975" s="12"/>
      <c r="Q975" s="12"/>
      <c r="R975" s="12"/>
      <c r="S975" s="12"/>
      <c r="T975" s="12"/>
      <c r="U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32"/>
      <c r="O976" s="32"/>
      <c r="P976" s="12"/>
      <c r="Q976" s="12"/>
      <c r="R976" s="12"/>
      <c r="S976" s="12"/>
      <c r="T976" s="12"/>
      <c r="U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32"/>
      <c r="O977" s="32"/>
      <c r="P977" s="12"/>
      <c r="Q977" s="12"/>
      <c r="R977" s="12"/>
      <c r="S977" s="12"/>
      <c r="T977" s="12"/>
      <c r="U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32"/>
      <c r="O978" s="32"/>
      <c r="P978" s="12"/>
      <c r="Q978" s="12"/>
      <c r="R978" s="12"/>
      <c r="S978" s="12"/>
      <c r="T978" s="12"/>
      <c r="U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32"/>
      <c r="O979" s="32"/>
      <c r="P979" s="12"/>
      <c r="Q979" s="12"/>
      <c r="R979" s="12"/>
      <c r="S979" s="12"/>
      <c r="T979" s="12"/>
      <c r="U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32"/>
      <c r="O980" s="32"/>
      <c r="P980" s="12"/>
      <c r="Q980" s="12"/>
      <c r="R980" s="12"/>
      <c r="S980" s="12"/>
      <c r="T980" s="12"/>
      <c r="U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32"/>
      <c r="O981" s="32"/>
      <c r="P981" s="12"/>
      <c r="Q981" s="12"/>
      <c r="R981" s="12"/>
      <c r="S981" s="12"/>
      <c r="T981" s="12"/>
      <c r="U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32"/>
      <c r="O982" s="32"/>
      <c r="P982" s="12"/>
      <c r="Q982" s="12"/>
      <c r="R982" s="12"/>
      <c r="S982" s="12"/>
      <c r="T982" s="12"/>
      <c r="U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32"/>
      <c r="O983" s="32"/>
      <c r="P983" s="12"/>
      <c r="Q983" s="12"/>
      <c r="R983" s="12"/>
      <c r="S983" s="12"/>
      <c r="T983" s="12"/>
      <c r="U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32"/>
      <c r="O984" s="32"/>
      <c r="P984" s="12"/>
      <c r="Q984" s="12"/>
      <c r="R984" s="12"/>
      <c r="S984" s="12"/>
      <c r="T984" s="12"/>
      <c r="U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32"/>
      <c r="O985" s="32"/>
      <c r="P985" s="12"/>
      <c r="Q985" s="12"/>
      <c r="R985" s="12"/>
      <c r="S985" s="12"/>
      <c r="T985" s="12"/>
      <c r="U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32"/>
      <c r="O986" s="32"/>
      <c r="P986" s="12"/>
      <c r="Q986" s="12"/>
      <c r="R986" s="12"/>
      <c r="S986" s="12"/>
      <c r="T986" s="12"/>
      <c r="U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32"/>
      <c r="O987" s="32"/>
      <c r="P987" s="12"/>
      <c r="Q987" s="12"/>
      <c r="R987" s="12"/>
      <c r="S987" s="12"/>
      <c r="T987" s="12"/>
      <c r="U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32"/>
      <c r="O988" s="32"/>
      <c r="P988" s="12"/>
      <c r="Q988" s="12"/>
      <c r="R988" s="12"/>
      <c r="S988" s="12"/>
      <c r="T988" s="12"/>
      <c r="U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32"/>
      <c r="O989" s="32"/>
      <c r="P989" s="12"/>
      <c r="Q989" s="12"/>
      <c r="R989" s="12"/>
      <c r="S989" s="12"/>
      <c r="T989" s="12"/>
      <c r="U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32"/>
      <c r="O990" s="32"/>
      <c r="P990" s="12"/>
      <c r="Q990" s="12"/>
      <c r="R990" s="12"/>
      <c r="S990" s="12"/>
      <c r="T990" s="12"/>
      <c r="U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32"/>
      <c r="O991" s="32"/>
      <c r="P991" s="12"/>
      <c r="Q991" s="12"/>
      <c r="R991" s="12"/>
      <c r="S991" s="12"/>
      <c r="T991" s="12"/>
      <c r="U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32"/>
      <c r="O992" s="32"/>
      <c r="P992" s="12"/>
      <c r="Q992" s="12"/>
      <c r="R992" s="12"/>
      <c r="S992" s="12"/>
      <c r="T992" s="12"/>
      <c r="U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32"/>
      <c r="O993" s="32"/>
      <c r="P993" s="12"/>
      <c r="Q993" s="12"/>
      <c r="R993" s="12"/>
      <c r="S993" s="12"/>
      <c r="T993" s="12"/>
      <c r="U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32"/>
      <c r="O994" s="32"/>
      <c r="P994" s="12"/>
      <c r="Q994" s="12"/>
      <c r="R994" s="12"/>
      <c r="S994" s="12"/>
      <c r="T994" s="12"/>
      <c r="U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32"/>
      <c r="O995" s="32"/>
      <c r="P995" s="12"/>
      <c r="Q995" s="12"/>
      <c r="R995" s="12"/>
      <c r="S995" s="12"/>
      <c r="T995" s="12"/>
      <c r="U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32"/>
      <c r="O996" s="32"/>
      <c r="P996" s="12"/>
      <c r="Q996" s="12"/>
      <c r="R996" s="12"/>
      <c r="S996" s="12"/>
      <c r="T996" s="12"/>
      <c r="U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32"/>
      <c r="O997" s="32"/>
      <c r="P997" s="12"/>
      <c r="Q997" s="12"/>
      <c r="R997" s="12"/>
      <c r="S997" s="12"/>
      <c r="T997" s="12"/>
      <c r="U997" s="12"/>
    </row>
  </sheetData>
  <autoFilter ref="$A$1:$S$250">
    <sortState ref="A1:S250">
      <sortCondition ref="B1:B250"/>
      <sortCondition ref="A1:A250"/>
      <sortCondition ref="D1:D250"/>
    </sortState>
  </autoFilter>
  <hyperlinks>
    <hyperlink r:id="rId1" ref="S2"/>
    <hyperlink r:id="rId2" ref="S3"/>
    <hyperlink r:id="rId3" ref="R4"/>
    <hyperlink r:id="rId4" ref="S4"/>
    <hyperlink r:id="rId5" ref="S5"/>
    <hyperlink r:id="rId6" ref="R6"/>
    <hyperlink r:id="rId7" ref="S6"/>
    <hyperlink r:id="rId8" ref="R7"/>
    <hyperlink r:id="rId9" ref="S7"/>
    <hyperlink r:id="rId10" ref="S8"/>
    <hyperlink r:id="rId11" ref="S9"/>
    <hyperlink r:id="rId12" ref="S10"/>
    <hyperlink r:id="rId13" ref="S11"/>
    <hyperlink r:id="rId14" ref="S12"/>
    <hyperlink r:id="rId15" ref="S13"/>
    <hyperlink r:id="rId16" ref="S14"/>
    <hyperlink r:id="rId17" ref="S15"/>
    <hyperlink r:id="rId18" ref="R16"/>
    <hyperlink r:id="rId19" ref="S16"/>
    <hyperlink r:id="rId20" ref="S17"/>
    <hyperlink r:id="rId21" ref="R18"/>
    <hyperlink r:id="rId22" ref="S18"/>
    <hyperlink r:id="rId23" ref="R19"/>
    <hyperlink r:id="rId24" ref="S19"/>
    <hyperlink r:id="rId25" ref="S20"/>
    <hyperlink r:id="rId26" ref="R21"/>
    <hyperlink r:id="rId27" ref="S21"/>
    <hyperlink r:id="rId28" ref="R22"/>
    <hyperlink r:id="rId29" ref="S22"/>
    <hyperlink r:id="rId30" ref="R23"/>
    <hyperlink r:id="rId31" ref="S23"/>
    <hyperlink r:id="rId32" ref="S24"/>
    <hyperlink r:id="rId33" ref="R25"/>
    <hyperlink r:id="rId34" ref="S25"/>
    <hyperlink r:id="rId35" ref="S26"/>
    <hyperlink r:id="rId36" ref="R27"/>
    <hyperlink r:id="rId37" ref="S27"/>
    <hyperlink r:id="rId38" ref="R28"/>
    <hyperlink r:id="rId39" ref="S28"/>
    <hyperlink r:id="rId40" ref="R29"/>
    <hyperlink r:id="rId41" ref="S29"/>
    <hyperlink r:id="rId42" ref="S30"/>
    <hyperlink r:id="rId43" ref="S31"/>
    <hyperlink r:id="rId44" ref="R32"/>
    <hyperlink r:id="rId45" ref="S32"/>
    <hyperlink r:id="rId46" ref="R33"/>
    <hyperlink r:id="rId47" ref="S33"/>
    <hyperlink r:id="rId48" ref="S34"/>
    <hyperlink r:id="rId49" ref="S35"/>
    <hyperlink r:id="rId50" ref="S36"/>
    <hyperlink r:id="rId51" ref="S37"/>
    <hyperlink r:id="rId52" ref="R38"/>
    <hyperlink r:id="rId53" ref="S38"/>
    <hyperlink r:id="rId54" ref="S39"/>
    <hyperlink r:id="rId55" ref="S40"/>
    <hyperlink r:id="rId56" ref="R41"/>
    <hyperlink r:id="rId57" ref="S41"/>
    <hyperlink r:id="rId58" ref="R42"/>
    <hyperlink r:id="rId59" ref="S42"/>
    <hyperlink r:id="rId60" ref="S43"/>
    <hyperlink r:id="rId61" ref="S44"/>
    <hyperlink r:id="rId62" ref="S45"/>
    <hyperlink r:id="rId63" ref="R46"/>
    <hyperlink r:id="rId64" ref="S46"/>
    <hyperlink r:id="rId65" ref="R47"/>
    <hyperlink r:id="rId66" ref="S47"/>
    <hyperlink r:id="rId67" ref="R48"/>
    <hyperlink r:id="rId68" ref="S48"/>
    <hyperlink r:id="rId69" ref="R49"/>
    <hyperlink r:id="rId70" ref="S49"/>
    <hyperlink r:id="rId71" ref="S50"/>
    <hyperlink r:id="rId72" ref="R51"/>
    <hyperlink r:id="rId73" ref="S51"/>
    <hyperlink r:id="rId74" ref="R52"/>
    <hyperlink r:id="rId75" ref="S52"/>
    <hyperlink r:id="rId76" ref="R53"/>
    <hyperlink r:id="rId77" ref="S53"/>
    <hyperlink r:id="rId78" ref="S54"/>
    <hyperlink r:id="rId79" ref="S55"/>
    <hyperlink r:id="rId80" ref="R56"/>
    <hyperlink r:id="rId81" ref="S56"/>
    <hyperlink r:id="rId82" ref="R57"/>
    <hyperlink r:id="rId83" ref="S57"/>
    <hyperlink r:id="rId84" ref="R58"/>
    <hyperlink r:id="rId85" ref="S58"/>
    <hyperlink r:id="rId86" ref="R59"/>
    <hyperlink r:id="rId87" ref="S59"/>
    <hyperlink r:id="rId88" ref="R60"/>
    <hyperlink r:id="rId89" ref="S60"/>
    <hyperlink r:id="rId90" ref="S61"/>
    <hyperlink r:id="rId91" ref="S62"/>
    <hyperlink r:id="rId92" ref="R63"/>
    <hyperlink r:id="rId93" ref="S63"/>
    <hyperlink r:id="rId94" ref="R64"/>
    <hyperlink r:id="rId95" ref="S64"/>
    <hyperlink r:id="rId96" ref="R65"/>
    <hyperlink r:id="rId97" location="https://www.elrionegrense.com.uy/wp-content/uploads/2022/06/FEDERICO-ELDUAYEN-ARQUERO-NOTA-PRINCIPAL-FOTO-universitariodesucre.blogspot.com-1-1.jpg" ref="S65"/>
    <hyperlink r:id="rId98" ref="R66"/>
    <hyperlink r:id="rId99" ref="S66"/>
    <hyperlink r:id="rId100" ref="R67"/>
    <hyperlink r:id="rId101" ref="S67"/>
    <hyperlink r:id="rId102" ref="R68"/>
    <hyperlink r:id="rId103" ref="S68"/>
    <hyperlink r:id="rId104" ref="R69"/>
    <hyperlink r:id="rId105" ref="S69"/>
    <hyperlink r:id="rId106" ref="S70"/>
    <hyperlink r:id="rId107" ref="R71"/>
    <hyperlink r:id="rId108" ref="S71"/>
    <hyperlink r:id="rId109" ref="R72"/>
    <hyperlink r:id="rId110" ref="S72"/>
    <hyperlink r:id="rId111" ref="R73"/>
    <hyperlink r:id="rId112" ref="S73"/>
    <hyperlink r:id="rId113" ref="R74"/>
    <hyperlink r:id="rId114" ref="S74"/>
    <hyperlink r:id="rId115" ref="S75"/>
    <hyperlink r:id="rId116" ref="S76"/>
    <hyperlink r:id="rId117" ref="R77"/>
    <hyperlink r:id="rId118" ref="S77"/>
    <hyperlink r:id="rId119" ref="R78"/>
    <hyperlink r:id="rId120" ref="S78"/>
    <hyperlink r:id="rId121" ref="R79"/>
    <hyperlink r:id="rId122" ref="S79"/>
    <hyperlink r:id="rId123" ref="R80"/>
    <hyperlink r:id="rId124" ref="S80"/>
    <hyperlink r:id="rId125" ref="R81"/>
    <hyperlink r:id="rId126" ref="S81"/>
    <hyperlink r:id="rId127" ref="R82"/>
    <hyperlink r:id="rId128" ref="S82"/>
    <hyperlink r:id="rId129" ref="R83"/>
    <hyperlink r:id="rId130" ref="S83"/>
    <hyperlink r:id="rId131" ref="S84"/>
    <hyperlink r:id="rId132" ref="R85"/>
    <hyperlink r:id="rId133" ref="S85"/>
    <hyperlink r:id="rId134" ref="S86"/>
    <hyperlink r:id="rId135" ref="R87"/>
    <hyperlink r:id="rId136" ref="S87"/>
    <hyperlink r:id="rId137" ref="R88"/>
    <hyperlink r:id="rId138" ref="S88"/>
    <hyperlink r:id="rId139" ref="S89"/>
    <hyperlink r:id="rId140" ref="S90"/>
    <hyperlink r:id="rId141" ref="R91"/>
    <hyperlink r:id="rId142" ref="S91"/>
    <hyperlink r:id="rId143" ref="S92"/>
    <hyperlink r:id="rId144" ref="S93"/>
    <hyperlink r:id="rId145" ref="R94"/>
    <hyperlink r:id="rId146" ref="S94"/>
    <hyperlink r:id="rId147" ref="S95"/>
    <hyperlink r:id="rId148" ref="S96"/>
    <hyperlink r:id="rId149" ref="R97"/>
    <hyperlink r:id="rId150" ref="S97"/>
    <hyperlink r:id="rId151" ref="R98"/>
    <hyperlink r:id="rId152" ref="S98"/>
    <hyperlink r:id="rId153" ref="R99"/>
    <hyperlink r:id="rId154" ref="S99"/>
    <hyperlink r:id="rId155" ref="R100"/>
    <hyperlink r:id="rId156" ref="S100"/>
    <hyperlink r:id="rId157" ref="R101"/>
    <hyperlink r:id="rId158" ref="S101"/>
    <hyperlink r:id="rId159" ref="R102"/>
    <hyperlink r:id="rId160" ref="S102"/>
    <hyperlink r:id="rId161" ref="R103"/>
    <hyperlink r:id="rId162" ref="S103"/>
    <hyperlink r:id="rId163" ref="R104"/>
    <hyperlink r:id="rId164" ref="S104"/>
    <hyperlink r:id="rId165" ref="R105"/>
    <hyperlink r:id="rId166" ref="S105"/>
    <hyperlink r:id="rId167" ref="R106"/>
    <hyperlink r:id="rId168" ref="S106"/>
    <hyperlink r:id="rId169" ref="S107"/>
    <hyperlink r:id="rId170" ref="R108"/>
    <hyperlink r:id="rId171" ref="S108"/>
    <hyperlink r:id="rId172" ref="S109"/>
    <hyperlink r:id="rId173" ref="S110"/>
    <hyperlink r:id="rId174" ref="S111"/>
    <hyperlink r:id="rId175" ref="S112"/>
    <hyperlink r:id="rId176" ref="S113"/>
    <hyperlink r:id="rId177" ref="S114"/>
    <hyperlink r:id="rId178" ref="S115"/>
    <hyperlink r:id="rId179" ref="S116"/>
    <hyperlink r:id="rId180" ref="S117"/>
    <hyperlink r:id="rId181" ref="S118"/>
    <hyperlink r:id="rId182" ref="S119"/>
    <hyperlink r:id="rId183" ref="R120"/>
    <hyperlink r:id="rId184" ref="S120"/>
    <hyperlink r:id="rId185" ref="R121"/>
    <hyperlink r:id="rId186" ref="S121"/>
    <hyperlink r:id="rId187" ref="S122"/>
    <hyperlink r:id="rId188" ref="S123"/>
    <hyperlink r:id="rId189" ref="S124"/>
    <hyperlink r:id="rId190" ref="R125"/>
    <hyperlink r:id="rId191" ref="S125"/>
    <hyperlink r:id="rId192" ref="R126"/>
    <hyperlink r:id="rId193" ref="S126"/>
    <hyperlink r:id="rId194" ref="R127"/>
    <hyperlink r:id="rId195" ref="S127"/>
    <hyperlink r:id="rId196" ref="R128"/>
    <hyperlink r:id="rId197" ref="S128"/>
    <hyperlink r:id="rId198" ref="S129"/>
    <hyperlink r:id="rId199" ref="R130"/>
    <hyperlink r:id="rId200" ref="S130"/>
    <hyperlink r:id="rId201" ref="S131"/>
    <hyperlink r:id="rId202" ref="S132"/>
    <hyperlink r:id="rId203" ref="S133"/>
    <hyperlink r:id="rId204" ref="S134"/>
    <hyperlink r:id="rId205" ref="S135"/>
    <hyperlink r:id="rId206" ref="S136"/>
    <hyperlink r:id="rId207" ref="R137"/>
    <hyperlink r:id="rId208" ref="S137"/>
    <hyperlink r:id="rId209" ref="R138"/>
    <hyperlink r:id="rId210" ref="S138"/>
    <hyperlink r:id="rId211" ref="R139"/>
    <hyperlink r:id="rId212" ref="S139"/>
    <hyperlink r:id="rId213" ref="S140"/>
    <hyperlink r:id="rId214" ref="R141"/>
    <hyperlink r:id="rId215" ref="S141"/>
    <hyperlink r:id="rId216" ref="R142"/>
    <hyperlink r:id="rId217" ref="S142"/>
    <hyperlink r:id="rId218" ref="R143"/>
    <hyperlink r:id="rId219" ref="S143"/>
    <hyperlink r:id="rId220" ref="R144"/>
    <hyperlink r:id="rId221" ref="S144"/>
    <hyperlink r:id="rId222" ref="R145"/>
    <hyperlink r:id="rId223" ref="S145"/>
    <hyperlink r:id="rId224" ref="R146"/>
    <hyperlink r:id="rId225" ref="S146"/>
    <hyperlink r:id="rId226" ref="R147"/>
    <hyperlink r:id="rId227" ref="S147"/>
    <hyperlink r:id="rId228" ref="R148"/>
    <hyperlink r:id="rId229" ref="S148"/>
    <hyperlink r:id="rId230" ref="R149"/>
    <hyperlink r:id="rId231" ref="S149"/>
    <hyperlink r:id="rId232" ref="R150"/>
    <hyperlink r:id="rId233" ref="S150"/>
    <hyperlink r:id="rId234" ref="S151"/>
    <hyperlink r:id="rId235" ref="S152"/>
    <hyperlink r:id="rId236" ref="R153"/>
    <hyperlink r:id="rId237" ref="S153"/>
    <hyperlink r:id="rId238" ref="R154"/>
    <hyperlink r:id="rId239" ref="S154"/>
    <hyperlink r:id="rId240" ref="S155"/>
    <hyperlink r:id="rId241" ref="R156"/>
    <hyperlink r:id="rId242" ref="S156"/>
    <hyperlink r:id="rId243" ref="R157"/>
    <hyperlink r:id="rId244" ref="S157"/>
    <hyperlink r:id="rId245" ref="R158"/>
    <hyperlink r:id="rId246" ref="S158"/>
    <hyperlink r:id="rId247" ref="R159"/>
    <hyperlink r:id="rId248" ref="S159"/>
    <hyperlink r:id="rId249" ref="S160"/>
    <hyperlink r:id="rId250" ref="S161"/>
    <hyperlink r:id="rId251" ref="S162"/>
    <hyperlink r:id="rId252" ref="S163"/>
    <hyperlink r:id="rId253" ref="S164"/>
    <hyperlink r:id="rId254" ref="S165"/>
    <hyperlink r:id="rId255" ref="S166"/>
    <hyperlink r:id="rId256" ref="R167"/>
    <hyperlink r:id="rId257" ref="S167"/>
    <hyperlink r:id="rId258" ref="S168"/>
    <hyperlink r:id="rId259" ref="R169"/>
    <hyperlink r:id="rId260" ref="S169"/>
    <hyperlink r:id="rId261" ref="R170"/>
    <hyperlink r:id="rId262" ref="S170"/>
    <hyperlink r:id="rId263" ref="R171"/>
    <hyperlink r:id="rId264" ref="S171"/>
    <hyperlink r:id="rId265" ref="R172"/>
    <hyperlink r:id="rId266" ref="S172"/>
    <hyperlink r:id="rId267" ref="R173"/>
    <hyperlink r:id="rId268" ref="S173"/>
    <hyperlink r:id="rId269" ref="R174"/>
    <hyperlink r:id="rId270" ref="S174"/>
    <hyperlink r:id="rId271" ref="R175"/>
    <hyperlink r:id="rId272" ref="S175"/>
    <hyperlink r:id="rId273" ref="S176"/>
    <hyperlink r:id="rId274" ref="R177"/>
    <hyperlink r:id="rId275" ref="S177"/>
    <hyperlink r:id="rId276" ref="S178"/>
    <hyperlink r:id="rId277" ref="R179"/>
    <hyperlink r:id="rId278" ref="S179"/>
    <hyperlink r:id="rId279" ref="S180"/>
    <hyperlink r:id="rId280" ref="S181"/>
    <hyperlink r:id="rId281" ref="S182"/>
    <hyperlink r:id="rId282" ref="S183"/>
    <hyperlink r:id="rId283" ref="R184"/>
    <hyperlink r:id="rId284" ref="S184"/>
    <hyperlink r:id="rId285" ref="R185"/>
    <hyperlink r:id="rId286" ref="S185"/>
    <hyperlink r:id="rId287" ref="S186"/>
    <hyperlink r:id="rId288" ref="S187"/>
    <hyperlink r:id="rId289" ref="S188"/>
    <hyperlink r:id="rId290" ref="R189"/>
    <hyperlink r:id="rId291" ref="S189"/>
    <hyperlink r:id="rId292" ref="S190"/>
    <hyperlink r:id="rId293" ref="S191"/>
    <hyperlink r:id="rId294" ref="S192"/>
    <hyperlink r:id="rId295" ref="R193"/>
    <hyperlink r:id="rId296" ref="S193"/>
    <hyperlink r:id="rId297" ref="R194"/>
    <hyperlink r:id="rId298" ref="S194"/>
    <hyperlink r:id="rId299" ref="R195"/>
    <hyperlink r:id="rId300" ref="S195"/>
    <hyperlink r:id="rId301" ref="R196"/>
    <hyperlink r:id="rId302" ref="S196"/>
    <hyperlink r:id="rId303" ref="R197"/>
    <hyperlink r:id="rId304" ref="S197"/>
    <hyperlink r:id="rId305" ref="R198"/>
    <hyperlink r:id="rId306" ref="S198"/>
    <hyperlink r:id="rId307" ref="R199"/>
    <hyperlink r:id="rId308" ref="S199"/>
    <hyperlink r:id="rId309" ref="R200"/>
    <hyperlink r:id="rId310" ref="S200"/>
    <hyperlink r:id="rId311" ref="R201"/>
    <hyperlink r:id="rId312" ref="S201"/>
    <hyperlink r:id="rId313" ref="R202"/>
    <hyperlink r:id="rId314" ref="S202"/>
    <hyperlink r:id="rId315" ref="R203"/>
    <hyperlink r:id="rId316" ref="S203"/>
    <hyperlink r:id="rId317" ref="R204"/>
    <hyperlink r:id="rId318" ref="S204"/>
    <hyperlink r:id="rId319" ref="S205"/>
    <hyperlink r:id="rId320" ref="R206"/>
    <hyperlink r:id="rId321" ref="S206"/>
    <hyperlink r:id="rId322" ref="R207"/>
    <hyperlink r:id="rId323" ref="S207"/>
    <hyperlink r:id="rId324" ref="R208"/>
    <hyperlink r:id="rId325" ref="S208"/>
    <hyperlink r:id="rId326" ref="S209"/>
    <hyperlink r:id="rId327" ref="R210"/>
    <hyperlink r:id="rId328" ref="S210"/>
    <hyperlink r:id="rId329" ref="S211"/>
    <hyperlink r:id="rId330" ref="R212"/>
    <hyperlink r:id="rId331" ref="S212"/>
    <hyperlink r:id="rId332" ref="S213"/>
    <hyperlink r:id="rId333" ref="S214"/>
    <hyperlink r:id="rId334" ref="S215"/>
    <hyperlink r:id="rId335" ref="R216"/>
    <hyperlink r:id="rId336" ref="S216"/>
    <hyperlink r:id="rId337" ref="R217"/>
    <hyperlink r:id="rId338" ref="S217"/>
    <hyperlink r:id="rId339" ref="S218"/>
    <hyperlink r:id="rId340" ref="S219"/>
    <hyperlink r:id="rId341" ref="S220"/>
    <hyperlink r:id="rId342" ref="S221"/>
    <hyperlink r:id="rId343" ref="R222"/>
    <hyperlink r:id="rId344" ref="S222"/>
    <hyperlink r:id="rId345" ref="R223"/>
    <hyperlink r:id="rId346" ref="S223"/>
    <hyperlink r:id="rId347" ref="R224"/>
    <hyperlink r:id="rId348" ref="S224"/>
    <hyperlink r:id="rId349" ref="R225"/>
    <hyperlink r:id="rId350" ref="S225"/>
    <hyperlink r:id="rId351" ref="R226"/>
    <hyperlink r:id="rId352" ref="S226"/>
    <hyperlink r:id="rId353" ref="S227"/>
    <hyperlink r:id="rId354" ref="R228"/>
    <hyperlink r:id="rId355" ref="S228"/>
    <hyperlink r:id="rId356" ref="S229"/>
    <hyperlink r:id="rId357" ref="S230"/>
    <hyperlink r:id="rId358" ref="S231"/>
    <hyperlink r:id="rId359" ref="S232"/>
    <hyperlink r:id="rId360" ref="S233"/>
    <hyperlink r:id="rId361" ref="R234"/>
    <hyperlink r:id="rId362" ref="S234"/>
    <hyperlink r:id="rId363" ref="S235"/>
    <hyperlink r:id="rId364" ref="R236"/>
    <hyperlink r:id="rId365" ref="S236"/>
    <hyperlink r:id="rId366" ref="R237"/>
    <hyperlink r:id="rId367" ref="S237"/>
    <hyperlink r:id="rId368" ref="S238"/>
    <hyperlink r:id="rId369" ref="S239"/>
    <hyperlink r:id="rId370" ref="S240"/>
    <hyperlink r:id="rId371" ref="R241"/>
    <hyperlink r:id="rId372" ref="S241"/>
    <hyperlink r:id="rId373" ref="R242"/>
    <hyperlink r:id="rId374" ref="S242"/>
    <hyperlink r:id="rId375" ref="R243"/>
    <hyperlink r:id="rId376" ref="S243"/>
    <hyperlink r:id="rId377" ref="R244"/>
    <hyperlink r:id="rId378" ref="S244"/>
    <hyperlink r:id="rId379" ref="R245"/>
    <hyperlink r:id="rId380" ref="S245"/>
    <hyperlink r:id="rId381" ref="S246"/>
    <hyperlink r:id="rId382" ref="R247"/>
    <hyperlink r:id="rId383" ref="S247"/>
    <hyperlink r:id="rId384" ref="S248"/>
    <hyperlink r:id="rId385" ref="R249"/>
    <hyperlink r:id="rId386" ref="S249"/>
    <hyperlink r:id="rId387" ref="R250"/>
    <hyperlink r:id="rId388" ref="S250"/>
  </hyperlinks>
  <drawing r:id="rId38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5" max="5" width="15.88"/>
    <col customWidth="1" min="6" max="6" width="30.75"/>
    <col customWidth="1" min="7" max="7" width="18.75"/>
  </cols>
  <sheetData>
    <row r="1">
      <c r="A1" s="33" t="s">
        <v>1280</v>
      </c>
      <c r="B1" s="34" t="s">
        <v>1281</v>
      </c>
      <c r="C1" s="35" t="s">
        <v>1282</v>
      </c>
      <c r="D1" s="35" t="s">
        <v>1283</v>
      </c>
      <c r="E1" s="34" t="s">
        <v>1284</v>
      </c>
      <c r="F1" s="34" t="s">
        <v>1285</v>
      </c>
      <c r="G1" s="34" t="s">
        <v>1286</v>
      </c>
      <c r="H1" s="34" t="s">
        <v>1287</v>
      </c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37" t="s">
        <v>73</v>
      </c>
      <c r="B2" s="37" t="s">
        <v>74</v>
      </c>
      <c r="C2" s="38">
        <v>-33.80993</v>
      </c>
      <c r="D2" s="38">
        <v>-58.26809</v>
      </c>
      <c r="E2" s="37" t="s">
        <v>1288</v>
      </c>
      <c r="F2" s="37" t="s">
        <v>1289</v>
      </c>
      <c r="G2" s="37" t="s">
        <v>107</v>
      </c>
      <c r="H2" s="37">
        <v>65.5</v>
      </c>
    </row>
    <row r="3">
      <c r="A3" s="37" t="s">
        <v>952</v>
      </c>
      <c r="B3" s="37" t="s">
        <v>35</v>
      </c>
      <c r="C3" s="38">
        <v>-34.85386</v>
      </c>
      <c r="D3" s="38">
        <v>-56.18957</v>
      </c>
      <c r="E3" s="37" t="s">
        <v>1290</v>
      </c>
      <c r="F3" s="37" t="s">
        <v>1291</v>
      </c>
      <c r="G3" s="37" t="s">
        <v>35</v>
      </c>
      <c r="H3" s="37">
        <v>5.6</v>
      </c>
    </row>
    <row r="4">
      <c r="A4" s="37" t="s">
        <v>237</v>
      </c>
      <c r="B4" s="37" t="s">
        <v>237</v>
      </c>
      <c r="C4" s="38">
        <v>-30.40432</v>
      </c>
      <c r="D4" s="38">
        <v>-56.46923</v>
      </c>
      <c r="E4" s="37" t="s">
        <v>1290</v>
      </c>
      <c r="F4" s="37" t="s">
        <v>1292</v>
      </c>
      <c r="G4" s="37" t="s">
        <v>237</v>
      </c>
      <c r="H4" s="37">
        <v>1.6</v>
      </c>
    </row>
    <row r="5">
      <c r="A5" s="37" t="s">
        <v>959</v>
      </c>
      <c r="B5" s="37" t="s">
        <v>237</v>
      </c>
      <c r="C5" s="38">
        <v>-30.72183</v>
      </c>
      <c r="D5" s="38">
        <v>-57.32838</v>
      </c>
      <c r="E5" s="37" t="s">
        <v>1288</v>
      </c>
      <c r="F5" s="37" t="s">
        <v>1292</v>
      </c>
      <c r="G5" s="37" t="s">
        <v>237</v>
      </c>
      <c r="H5" s="37">
        <v>91.0</v>
      </c>
    </row>
    <row r="6">
      <c r="A6" s="37" t="s">
        <v>1231</v>
      </c>
      <c r="B6" s="37" t="s">
        <v>35</v>
      </c>
      <c r="C6" s="38">
        <v>-34.91087</v>
      </c>
      <c r="D6" s="38">
        <v>-56.18818</v>
      </c>
      <c r="E6" s="37" t="s">
        <v>1290</v>
      </c>
      <c r="F6" s="37" t="s">
        <v>1291</v>
      </c>
      <c r="G6" s="37" t="s">
        <v>35</v>
      </c>
      <c r="H6" s="37">
        <v>3.7</v>
      </c>
    </row>
    <row r="7">
      <c r="A7" s="37" t="s">
        <v>24</v>
      </c>
      <c r="B7" s="37" t="s">
        <v>24</v>
      </c>
      <c r="C7" s="38">
        <v>-34.52468</v>
      </c>
      <c r="D7" s="38">
        <v>-56.28121</v>
      </c>
      <c r="E7" s="37" t="s">
        <v>1290</v>
      </c>
      <c r="F7" s="37" t="s">
        <v>1293</v>
      </c>
      <c r="G7" s="37" t="s">
        <v>24</v>
      </c>
      <c r="H7" s="37">
        <v>0.7</v>
      </c>
    </row>
    <row r="8">
      <c r="A8" s="37" t="s">
        <v>711</v>
      </c>
      <c r="B8" s="37" t="s">
        <v>48</v>
      </c>
      <c r="C8" s="38">
        <v>-32.39756</v>
      </c>
      <c r="D8" s="38">
        <v>-58.159</v>
      </c>
      <c r="E8" s="37" t="s">
        <v>1288</v>
      </c>
      <c r="F8" s="37" t="s">
        <v>1294</v>
      </c>
      <c r="G8" s="37" t="s">
        <v>48</v>
      </c>
      <c r="H8" s="37">
        <v>10.8</v>
      </c>
    </row>
    <row r="9">
      <c r="A9" s="37" t="s">
        <v>297</v>
      </c>
      <c r="B9" s="37" t="s">
        <v>74</v>
      </c>
      <c r="C9" s="38">
        <v>-34.46353</v>
      </c>
      <c r="D9" s="38">
        <v>-57.8346</v>
      </c>
      <c r="E9" s="37" t="s">
        <v>1290</v>
      </c>
      <c r="F9" s="37" t="s">
        <v>1295</v>
      </c>
      <c r="G9" s="37" t="s">
        <v>297</v>
      </c>
      <c r="H9" s="37">
        <v>1.1</v>
      </c>
    </row>
    <row r="10">
      <c r="A10" s="37" t="s">
        <v>1150</v>
      </c>
      <c r="B10" s="37" t="s">
        <v>108</v>
      </c>
      <c r="C10" s="38">
        <v>-33.53315</v>
      </c>
      <c r="D10" s="38">
        <v>-58.2156</v>
      </c>
      <c r="E10" s="37" t="s">
        <v>1288</v>
      </c>
      <c r="F10" s="37" t="s">
        <v>1289</v>
      </c>
      <c r="G10" s="37" t="s">
        <v>107</v>
      </c>
      <c r="H10" s="37">
        <v>35.5</v>
      </c>
    </row>
    <row r="11">
      <c r="A11" s="37" t="s">
        <v>65</v>
      </c>
      <c r="B11" s="37" t="s">
        <v>65</v>
      </c>
      <c r="C11" s="38">
        <v>-33.37896</v>
      </c>
      <c r="D11" s="38">
        <v>-56.52452</v>
      </c>
      <c r="E11" s="37" t="s">
        <v>1290</v>
      </c>
      <c r="F11" s="37" t="s">
        <v>1296</v>
      </c>
      <c r="G11" s="37" t="s">
        <v>65</v>
      </c>
      <c r="H11" s="37">
        <v>0.8</v>
      </c>
    </row>
    <row r="12">
      <c r="A12" s="37" t="s">
        <v>687</v>
      </c>
      <c r="B12" s="37" t="s">
        <v>108</v>
      </c>
      <c r="C12" s="38">
        <v>-33.20831</v>
      </c>
      <c r="D12" s="38">
        <v>-57.41738</v>
      </c>
      <c r="E12" s="37" t="s">
        <v>1288</v>
      </c>
      <c r="F12" s="37" t="s">
        <v>1289</v>
      </c>
      <c r="G12" s="37" t="s">
        <v>107</v>
      </c>
      <c r="H12" s="37">
        <v>56.6</v>
      </c>
    </row>
    <row r="13">
      <c r="A13" s="37" t="s">
        <v>892</v>
      </c>
      <c r="B13" s="37" t="s">
        <v>24</v>
      </c>
      <c r="C13" s="38">
        <v>-34.69243</v>
      </c>
      <c r="D13" s="38">
        <v>-55.89833</v>
      </c>
      <c r="E13" s="37" t="s">
        <v>1288</v>
      </c>
      <c r="F13" s="37" t="s">
        <v>1291</v>
      </c>
      <c r="G13" s="37" t="s">
        <v>35</v>
      </c>
      <c r="H13" s="37">
        <v>32.3</v>
      </c>
    </row>
    <row r="14">
      <c r="A14" s="37" t="s">
        <v>129</v>
      </c>
      <c r="B14" s="37" t="s">
        <v>129</v>
      </c>
      <c r="C14" s="38">
        <v>-34.09446</v>
      </c>
      <c r="D14" s="38">
        <v>-56.21859</v>
      </c>
      <c r="E14" s="37" t="s">
        <v>1290</v>
      </c>
      <c r="F14" s="37" t="s">
        <v>1297</v>
      </c>
      <c r="G14" s="37" t="s">
        <v>129</v>
      </c>
      <c r="H14" s="37">
        <v>1.5</v>
      </c>
    </row>
    <row r="15">
      <c r="A15" s="37" t="s">
        <v>403</v>
      </c>
      <c r="B15" s="37" t="s">
        <v>404</v>
      </c>
      <c r="C15" s="38">
        <v>-33.12729</v>
      </c>
      <c r="D15" s="38">
        <v>-58.29883</v>
      </c>
      <c r="E15" s="37" t="s">
        <v>1290</v>
      </c>
      <c r="F15" s="37" t="s">
        <v>1298</v>
      </c>
      <c r="G15" s="37" t="s">
        <v>403</v>
      </c>
      <c r="H15" s="37">
        <v>2.0</v>
      </c>
    </row>
    <row r="16">
      <c r="A16" s="37" t="s">
        <v>1015</v>
      </c>
      <c r="B16" s="37" t="s">
        <v>24</v>
      </c>
      <c r="C16" s="38">
        <v>-34.73379</v>
      </c>
      <c r="D16" s="38">
        <v>-56.03274</v>
      </c>
      <c r="E16" s="37" t="s">
        <v>1288</v>
      </c>
      <c r="F16" s="37" t="s">
        <v>1291</v>
      </c>
      <c r="G16" s="37" t="s">
        <v>35</v>
      </c>
      <c r="H16" s="37">
        <v>21.0</v>
      </c>
    </row>
    <row r="17">
      <c r="A17" s="37" t="s">
        <v>196</v>
      </c>
      <c r="B17" s="37" t="s">
        <v>74</v>
      </c>
      <c r="C17" s="38">
        <v>-34.43126</v>
      </c>
      <c r="D17" s="38">
        <v>-57.44229</v>
      </c>
      <c r="E17" s="37" t="s">
        <v>1288</v>
      </c>
      <c r="F17" s="37" t="s">
        <v>1295</v>
      </c>
      <c r="G17" s="37" t="s">
        <v>297</v>
      </c>
      <c r="H17" s="37">
        <v>37.2</v>
      </c>
    </row>
    <row r="18">
      <c r="A18" s="37" t="s">
        <v>588</v>
      </c>
      <c r="B18" s="37" t="s">
        <v>24</v>
      </c>
      <c r="C18" s="38">
        <v>-34.72699</v>
      </c>
      <c r="D18" s="38">
        <v>-56.21596</v>
      </c>
      <c r="E18" s="37" t="s">
        <v>1288</v>
      </c>
      <c r="F18" s="37" t="s">
        <v>1291</v>
      </c>
      <c r="G18" s="37" t="s">
        <v>35</v>
      </c>
      <c r="H18" s="37">
        <v>19.5</v>
      </c>
    </row>
    <row r="19">
      <c r="A19" s="37" t="s">
        <v>1272</v>
      </c>
      <c r="B19" s="37" t="s">
        <v>24</v>
      </c>
      <c r="C19" s="38">
        <v>-34.60813</v>
      </c>
      <c r="D19" s="38">
        <v>-56.36118</v>
      </c>
      <c r="E19" s="37" t="s">
        <v>1288</v>
      </c>
      <c r="F19" s="37" t="s">
        <v>1293</v>
      </c>
      <c r="G19" s="37" t="s">
        <v>24</v>
      </c>
      <c r="H19" s="37">
        <v>12.3</v>
      </c>
    </row>
    <row r="20">
      <c r="A20" s="37" t="s">
        <v>203</v>
      </c>
      <c r="B20" s="37" t="s">
        <v>203</v>
      </c>
      <c r="C20" s="38">
        <v>-34.89794</v>
      </c>
      <c r="D20" s="38">
        <v>-54.95004</v>
      </c>
      <c r="E20" s="37" t="s">
        <v>1290</v>
      </c>
      <c r="F20" s="37" t="s">
        <v>1299</v>
      </c>
      <c r="G20" s="37" t="s">
        <v>203</v>
      </c>
      <c r="H20" s="37">
        <v>1.9</v>
      </c>
    </row>
    <row r="21">
      <c r="A21" s="37" t="s">
        <v>1101</v>
      </c>
      <c r="B21" s="37" t="s">
        <v>1102</v>
      </c>
      <c r="C21" s="38">
        <v>-32.3691</v>
      </c>
      <c r="D21" s="38">
        <v>-54.16423</v>
      </c>
      <c r="E21" s="37" t="s">
        <v>1290</v>
      </c>
      <c r="F21" s="37" t="s">
        <v>1300</v>
      </c>
      <c r="G21" s="37" t="s">
        <v>1101</v>
      </c>
      <c r="H21" s="37">
        <v>1.2</v>
      </c>
    </row>
    <row r="22">
      <c r="A22" s="37" t="s">
        <v>107</v>
      </c>
      <c r="B22" s="37" t="s">
        <v>108</v>
      </c>
      <c r="C22" s="38">
        <v>-33.24863</v>
      </c>
      <c r="D22" s="38">
        <v>-58.01876</v>
      </c>
      <c r="E22" s="37" t="s">
        <v>1290</v>
      </c>
      <c r="F22" s="37" t="s">
        <v>1289</v>
      </c>
      <c r="G22" s="37" t="s">
        <v>107</v>
      </c>
      <c r="H22" s="37">
        <v>1.1</v>
      </c>
    </row>
    <row r="23">
      <c r="A23" s="37" t="s">
        <v>1169</v>
      </c>
      <c r="B23" s="37" t="s">
        <v>1170</v>
      </c>
      <c r="C23" s="38">
        <v>-34.37563</v>
      </c>
      <c r="D23" s="38">
        <v>-55.23689</v>
      </c>
      <c r="E23" s="37" t="s">
        <v>1290</v>
      </c>
      <c r="F23" s="37" t="s">
        <v>1301</v>
      </c>
      <c r="G23" s="37" t="s">
        <v>1169</v>
      </c>
      <c r="H23" s="37">
        <v>1.2</v>
      </c>
    </row>
    <row r="24">
      <c r="A24" s="37" t="s">
        <v>35</v>
      </c>
      <c r="B24" s="37" t="s">
        <v>35</v>
      </c>
      <c r="C24" s="38">
        <v>-34.9055</v>
      </c>
      <c r="D24" s="38">
        <v>-56.18511</v>
      </c>
      <c r="E24" s="37" t="s">
        <v>1290</v>
      </c>
      <c r="F24" s="37" t="s">
        <v>1291</v>
      </c>
      <c r="G24" s="37" t="s">
        <v>35</v>
      </c>
      <c r="H24" s="37">
        <v>3.2</v>
      </c>
    </row>
    <row r="25">
      <c r="A25" s="37" t="s">
        <v>547</v>
      </c>
      <c r="B25" s="37" t="s">
        <v>74</v>
      </c>
      <c r="C25" s="38">
        <v>-34.29074</v>
      </c>
      <c r="D25" s="38">
        <v>-57.23528</v>
      </c>
      <c r="E25" s="37" t="s">
        <v>1288</v>
      </c>
      <c r="F25" s="37" t="s">
        <v>1302</v>
      </c>
      <c r="G25" s="37" t="s">
        <v>988</v>
      </c>
      <c r="H25" s="37">
        <v>48.4</v>
      </c>
    </row>
    <row r="26">
      <c r="A26" s="37" t="s">
        <v>462</v>
      </c>
      <c r="B26" s="37" t="s">
        <v>74</v>
      </c>
      <c r="C26" s="38">
        <v>-33.87427</v>
      </c>
      <c r="D26" s="38">
        <v>-58.40708</v>
      </c>
      <c r="E26" s="37" t="s">
        <v>1288</v>
      </c>
      <c r="F26" s="37" t="s">
        <v>1289</v>
      </c>
      <c r="G26" s="37" t="s">
        <v>107</v>
      </c>
      <c r="H26" s="37">
        <v>77.2</v>
      </c>
    </row>
    <row r="27">
      <c r="A27" s="37" t="s">
        <v>471</v>
      </c>
      <c r="B27" s="37" t="s">
        <v>404</v>
      </c>
      <c r="C27" s="38">
        <v>-32.97971</v>
      </c>
      <c r="D27" s="38">
        <v>-58.05701</v>
      </c>
      <c r="E27" s="37" t="s">
        <v>1288</v>
      </c>
      <c r="F27" s="37" t="s">
        <v>1298</v>
      </c>
      <c r="G27" s="37" t="s">
        <v>403</v>
      </c>
      <c r="H27" s="37">
        <v>28.8</v>
      </c>
    </row>
    <row r="28">
      <c r="A28" s="37" t="s">
        <v>516</v>
      </c>
      <c r="B28" s="37" t="s">
        <v>35</v>
      </c>
      <c r="C28" s="38">
        <v>-34.91068</v>
      </c>
      <c r="D28" s="38">
        <v>-56.1798</v>
      </c>
      <c r="E28" s="37" t="s">
        <v>1290</v>
      </c>
      <c r="F28" s="37" t="s">
        <v>1291</v>
      </c>
      <c r="G28" s="37" t="s">
        <v>35</v>
      </c>
      <c r="H28" s="37">
        <v>3.0</v>
      </c>
    </row>
    <row r="29">
      <c r="A29" s="37" t="s">
        <v>23</v>
      </c>
      <c r="B29" s="37" t="s">
        <v>24</v>
      </c>
      <c r="C29" s="38">
        <v>-34.72128</v>
      </c>
      <c r="D29" s="38">
        <v>-55.96005</v>
      </c>
      <c r="E29" s="37" t="s">
        <v>1288</v>
      </c>
      <c r="F29" s="37" t="s">
        <v>1291</v>
      </c>
      <c r="G29" s="37" t="s">
        <v>35</v>
      </c>
      <c r="H29" s="37">
        <v>26.1</v>
      </c>
    </row>
    <row r="30">
      <c r="A30" s="37" t="s">
        <v>383</v>
      </c>
      <c r="B30" s="37" t="s">
        <v>384</v>
      </c>
      <c r="C30" s="38">
        <v>-32.81076</v>
      </c>
      <c r="D30" s="38">
        <v>-56.5203</v>
      </c>
      <c r="E30" s="37" t="s">
        <v>1288</v>
      </c>
      <c r="F30" s="37" t="s">
        <v>1296</v>
      </c>
      <c r="G30" s="37" t="s">
        <v>65</v>
      </c>
      <c r="H30" s="37">
        <v>62.5</v>
      </c>
    </row>
    <row r="31">
      <c r="A31" s="37" t="s">
        <v>48</v>
      </c>
      <c r="B31" s="37" t="s">
        <v>48</v>
      </c>
      <c r="C31" s="38">
        <v>-32.31683</v>
      </c>
      <c r="D31" s="38">
        <v>-58.08005</v>
      </c>
      <c r="E31" s="37" t="s">
        <v>1290</v>
      </c>
      <c r="F31" s="37" t="s">
        <v>1294</v>
      </c>
      <c r="G31" s="37" t="s">
        <v>48</v>
      </c>
      <c r="H31" s="37">
        <v>0.9</v>
      </c>
    </row>
    <row r="32">
      <c r="A32" s="37" t="s">
        <v>773</v>
      </c>
      <c r="B32" s="37" t="s">
        <v>203</v>
      </c>
      <c r="C32" s="38">
        <v>-34.86586</v>
      </c>
      <c r="D32" s="38">
        <v>-55.27554</v>
      </c>
      <c r="E32" s="37" t="s">
        <v>1288</v>
      </c>
      <c r="F32" s="37" t="s">
        <v>1299</v>
      </c>
      <c r="G32" s="37" t="s">
        <v>203</v>
      </c>
      <c r="H32" s="37">
        <v>29.7</v>
      </c>
    </row>
    <row r="33">
      <c r="A33" s="37" t="s">
        <v>1217</v>
      </c>
      <c r="B33" s="37" t="s">
        <v>237</v>
      </c>
      <c r="C33" s="38">
        <v>-30.29784</v>
      </c>
      <c r="D33" s="38">
        <v>-56.97014</v>
      </c>
      <c r="E33" s="37" t="s">
        <v>1288</v>
      </c>
      <c r="F33" s="37" t="s">
        <v>1292</v>
      </c>
      <c r="G33" s="37" t="s">
        <v>237</v>
      </c>
      <c r="H33" s="37">
        <v>50.4</v>
      </c>
    </row>
    <row r="34">
      <c r="A34" s="37" t="s">
        <v>333</v>
      </c>
      <c r="B34" s="37" t="s">
        <v>203</v>
      </c>
      <c r="C34" s="38">
        <v>-34.93605</v>
      </c>
      <c r="D34" s="38">
        <v>-54.93781</v>
      </c>
      <c r="E34" s="37" t="s">
        <v>1288</v>
      </c>
      <c r="F34" s="37" t="s">
        <v>1299</v>
      </c>
      <c r="G34" s="37" t="s">
        <v>203</v>
      </c>
      <c r="H34" s="37">
        <v>2.9</v>
      </c>
    </row>
    <row r="35">
      <c r="A35" s="37" t="s">
        <v>144</v>
      </c>
      <c r="B35" s="37" t="s">
        <v>144</v>
      </c>
      <c r="C35" s="38">
        <v>-30.90306</v>
      </c>
      <c r="D35" s="38">
        <v>-55.54211</v>
      </c>
      <c r="E35" s="37" t="s">
        <v>1290</v>
      </c>
      <c r="F35" s="37" t="s">
        <v>1303</v>
      </c>
      <c r="G35" s="37" t="s">
        <v>144</v>
      </c>
      <c r="H35" s="37">
        <v>0.8</v>
      </c>
    </row>
    <row r="36">
      <c r="A36" s="37" t="s">
        <v>244</v>
      </c>
      <c r="B36" s="37" t="s">
        <v>244</v>
      </c>
      <c r="C36" s="38">
        <v>-34.48107</v>
      </c>
      <c r="D36" s="38">
        <v>-54.32904</v>
      </c>
      <c r="E36" s="37" t="s">
        <v>1290</v>
      </c>
      <c r="F36" s="37" t="s">
        <v>1304</v>
      </c>
      <c r="G36" s="37" t="s">
        <v>244</v>
      </c>
      <c r="H36" s="37">
        <v>0.7</v>
      </c>
    </row>
    <row r="37">
      <c r="A37" s="37" t="s">
        <v>261</v>
      </c>
      <c r="B37" s="37" t="s">
        <v>74</v>
      </c>
      <c r="C37" s="38">
        <v>-34.3121</v>
      </c>
      <c r="D37" s="38">
        <v>-57.35094</v>
      </c>
      <c r="E37" s="37" t="s">
        <v>1288</v>
      </c>
      <c r="F37" s="37" t="s">
        <v>1295</v>
      </c>
      <c r="G37" s="37" t="s">
        <v>297</v>
      </c>
      <c r="H37" s="37">
        <v>48.6</v>
      </c>
    </row>
    <row r="38">
      <c r="A38" s="37" t="s">
        <v>187</v>
      </c>
      <c r="B38" s="37" t="s">
        <v>187</v>
      </c>
      <c r="C38" s="38">
        <v>-31.38794</v>
      </c>
      <c r="D38" s="38">
        <v>-57.96118</v>
      </c>
      <c r="E38" s="37" t="s">
        <v>1290</v>
      </c>
      <c r="F38" s="37" t="s">
        <v>1305</v>
      </c>
      <c r="G38" s="37" t="s">
        <v>187</v>
      </c>
      <c r="H38" s="37">
        <v>2.4</v>
      </c>
    </row>
    <row r="39">
      <c r="A39" s="37" t="s">
        <v>1056</v>
      </c>
      <c r="B39" s="37" t="s">
        <v>203</v>
      </c>
      <c r="C39" s="38">
        <v>-34.78855</v>
      </c>
      <c r="D39" s="38">
        <v>-54.92082</v>
      </c>
      <c r="E39" s="37" t="s">
        <v>1288</v>
      </c>
      <c r="F39" s="37" t="s">
        <v>1299</v>
      </c>
      <c r="G39" s="37" t="s">
        <v>203</v>
      </c>
      <c r="H39" s="37">
        <v>14.3</v>
      </c>
    </row>
    <row r="40">
      <c r="A40" s="37" t="s">
        <v>884</v>
      </c>
      <c r="B40" s="37" t="s">
        <v>24</v>
      </c>
      <c r="C40" s="38">
        <v>-34.5472</v>
      </c>
      <c r="D40" s="38">
        <v>-55.87309</v>
      </c>
      <c r="E40" s="37" t="s">
        <v>1288</v>
      </c>
      <c r="F40" s="37" t="s">
        <v>1293</v>
      </c>
      <c r="G40" s="37" t="s">
        <v>24</v>
      </c>
      <c r="H40" s="37">
        <v>36.8</v>
      </c>
    </row>
    <row r="41">
      <c r="A41" s="37" t="s">
        <v>988</v>
      </c>
      <c r="B41" s="37" t="s">
        <v>989</v>
      </c>
      <c r="C41" s="38">
        <v>-34.33913</v>
      </c>
      <c r="D41" s="38">
        <v>-56.71461</v>
      </c>
      <c r="E41" s="37" t="s">
        <v>1290</v>
      </c>
      <c r="F41" s="37" t="s">
        <v>1302</v>
      </c>
      <c r="G41" s="37" t="s">
        <v>988</v>
      </c>
      <c r="H41" s="37">
        <v>1.2</v>
      </c>
    </row>
    <row r="42">
      <c r="A42" s="37" t="s">
        <v>726</v>
      </c>
      <c r="B42" s="37" t="s">
        <v>24</v>
      </c>
      <c r="C42" s="38">
        <v>-34.29073</v>
      </c>
      <c r="D42" s="38">
        <v>-55.95739</v>
      </c>
      <c r="E42" s="37" t="s">
        <v>1288</v>
      </c>
      <c r="F42" s="37" t="s">
        <v>1297</v>
      </c>
      <c r="G42" s="37" t="s">
        <v>129</v>
      </c>
      <c r="H42" s="37">
        <v>31.0</v>
      </c>
    </row>
    <row r="43">
      <c r="A43" s="37" t="s">
        <v>1157</v>
      </c>
      <c r="B43" s="37" t="s">
        <v>24</v>
      </c>
      <c r="C43" s="38">
        <v>-34.45371</v>
      </c>
      <c r="D43" s="38">
        <v>-56.39298</v>
      </c>
      <c r="E43" s="37" t="s">
        <v>1288</v>
      </c>
      <c r="F43" s="37" t="s">
        <v>1293</v>
      </c>
      <c r="G43" s="37" t="s">
        <v>24</v>
      </c>
      <c r="H43" s="37">
        <v>13.4</v>
      </c>
    </row>
    <row r="44">
      <c r="A44" s="37" t="s">
        <v>216</v>
      </c>
      <c r="B44" s="37" t="s">
        <v>24</v>
      </c>
      <c r="C44" s="38">
        <v>-34.65021</v>
      </c>
      <c r="D44" s="38">
        <v>-56.06534</v>
      </c>
      <c r="E44" s="37" t="s">
        <v>1288</v>
      </c>
      <c r="F44" s="37" t="s">
        <v>1293</v>
      </c>
      <c r="G44" s="37" t="s">
        <v>24</v>
      </c>
      <c r="H44" s="37">
        <v>23.7</v>
      </c>
    </row>
    <row r="45">
      <c r="A45" s="37" t="s">
        <v>180</v>
      </c>
      <c r="B45" s="37" t="s">
        <v>24</v>
      </c>
      <c r="C45" s="38">
        <v>-34.34346</v>
      </c>
      <c r="D45" s="38">
        <v>-55.76313</v>
      </c>
      <c r="E45" s="37" t="s">
        <v>1288</v>
      </c>
      <c r="F45" s="37" t="s">
        <v>1301</v>
      </c>
      <c r="G45" s="37" t="s">
        <v>1169</v>
      </c>
      <c r="H45" s="37">
        <v>47.4</v>
      </c>
    </row>
    <row r="46">
      <c r="A46" s="37" t="s">
        <v>640</v>
      </c>
      <c r="B46" s="37" t="s">
        <v>24</v>
      </c>
      <c r="C46" s="38">
        <v>-34.74032</v>
      </c>
      <c r="D46" s="38">
        <v>-56.09246</v>
      </c>
      <c r="E46" s="37" t="s">
        <v>1288</v>
      </c>
      <c r="F46" s="37" t="s">
        <v>1291</v>
      </c>
      <c r="G46" s="37" t="s">
        <v>35</v>
      </c>
      <c r="H46" s="37">
        <v>18.0</v>
      </c>
    </row>
    <row r="47">
      <c r="A47" s="37" t="s">
        <v>143</v>
      </c>
      <c r="B47" s="37" t="s">
        <v>144</v>
      </c>
      <c r="C47" s="38">
        <v>-31.1908</v>
      </c>
      <c r="D47" s="38">
        <v>-55.76601</v>
      </c>
      <c r="E47" s="37" t="s">
        <v>1288</v>
      </c>
      <c r="F47" s="37" t="s">
        <v>1303</v>
      </c>
      <c r="G47" s="37" t="s">
        <v>144</v>
      </c>
      <c r="H47" s="37">
        <v>37.6</v>
      </c>
    </row>
    <row r="48">
      <c r="A48" s="37" t="s">
        <v>228</v>
      </c>
      <c r="B48" s="37" t="s">
        <v>228</v>
      </c>
      <c r="C48" s="38">
        <v>-33.23214</v>
      </c>
      <c r="D48" s="38">
        <v>-54.38668</v>
      </c>
      <c r="E48" s="37" t="s">
        <v>1290</v>
      </c>
      <c r="F48" s="37" t="s">
        <v>1306</v>
      </c>
      <c r="G48" s="37" t="s">
        <v>228</v>
      </c>
      <c r="H48" s="37">
        <v>1.6</v>
      </c>
    </row>
    <row r="49">
      <c r="C49" s="39"/>
      <c r="D49" s="39"/>
    </row>
    <row r="50">
      <c r="C50" s="39"/>
      <c r="D50" s="39"/>
    </row>
    <row r="51">
      <c r="C51" s="39"/>
      <c r="D51" s="39"/>
    </row>
    <row r="52">
      <c r="C52" s="39"/>
      <c r="D52" s="39"/>
    </row>
    <row r="53">
      <c r="C53" s="39"/>
      <c r="D53" s="39"/>
    </row>
    <row r="54">
      <c r="C54" s="39"/>
      <c r="D54" s="39"/>
    </row>
    <row r="55">
      <c r="C55" s="39"/>
      <c r="D55" s="39"/>
    </row>
    <row r="56">
      <c r="C56" s="39"/>
      <c r="D56" s="39"/>
    </row>
    <row r="57">
      <c r="C57" s="39"/>
      <c r="D57" s="39"/>
    </row>
    <row r="58">
      <c r="C58" s="39"/>
      <c r="D58" s="39"/>
    </row>
    <row r="59">
      <c r="C59" s="39"/>
      <c r="D59" s="39"/>
    </row>
    <row r="60">
      <c r="C60" s="39"/>
      <c r="D60" s="39"/>
    </row>
    <row r="61">
      <c r="C61" s="39"/>
      <c r="D61" s="39"/>
    </row>
    <row r="62">
      <c r="C62" s="39"/>
      <c r="D62" s="39"/>
    </row>
    <row r="63">
      <c r="C63" s="39"/>
      <c r="D63" s="39"/>
    </row>
    <row r="64">
      <c r="C64" s="39"/>
      <c r="D64" s="39"/>
    </row>
    <row r="65">
      <c r="C65" s="39"/>
      <c r="D65" s="39"/>
    </row>
    <row r="66">
      <c r="C66" s="39"/>
      <c r="D66" s="39"/>
    </row>
    <row r="67">
      <c r="C67" s="39"/>
      <c r="D67" s="39"/>
    </row>
    <row r="68">
      <c r="C68" s="39"/>
      <c r="D68" s="39"/>
    </row>
    <row r="69">
      <c r="C69" s="39"/>
      <c r="D69" s="39"/>
    </row>
    <row r="70">
      <c r="C70" s="39"/>
      <c r="D70" s="39"/>
    </row>
    <row r="71">
      <c r="C71" s="39"/>
      <c r="D71" s="39"/>
    </row>
    <row r="72">
      <c r="C72" s="39"/>
      <c r="D72" s="39"/>
    </row>
    <row r="73">
      <c r="C73" s="39"/>
      <c r="D73" s="39"/>
    </row>
    <row r="74">
      <c r="C74" s="39"/>
      <c r="D74" s="39"/>
    </row>
    <row r="75">
      <c r="C75" s="39"/>
      <c r="D75" s="39"/>
    </row>
    <row r="76">
      <c r="C76" s="39"/>
      <c r="D76" s="39"/>
    </row>
    <row r="77">
      <c r="C77" s="39"/>
      <c r="D77" s="39"/>
    </row>
    <row r="78">
      <c r="C78" s="39"/>
      <c r="D78" s="39"/>
    </row>
    <row r="79">
      <c r="C79" s="39"/>
      <c r="D79" s="39"/>
    </row>
    <row r="80">
      <c r="C80" s="39"/>
      <c r="D80" s="39"/>
    </row>
    <row r="81">
      <c r="C81" s="39"/>
      <c r="D81" s="39"/>
    </row>
    <row r="82">
      <c r="C82" s="39"/>
      <c r="D82" s="39"/>
    </row>
    <row r="83">
      <c r="C83" s="39"/>
      <c r="D83" s="39"/>
    </row>
    <row r="84">
      <c r="C84" s="39"/>
      <c r="D84" s="39"/>
    </row>
    <row r="85">
      <c r="C85" s="39"/>
      <c r="D85" s="39"/>
    </row>
    <row r="86">
      <c r="C86" s="39"/>
      <c r="D86" s="39"/>
    </row>
    <row r="87">
      <c r="C87" s="39"/>
      <c r="D87" s="39"/>
    </row>
    <row r="88">
      <c r="C88" s="39"/>
      <c r="D88" s="39"/>
    </row>
    <row r="89">
      <c r="C89" s="39"/>
      <c r="D89" s="39"/>
    </row>
    <row r="90">
      <c r="C90" s="39"/>
      <c r="D90" s="39"/>
    </row>
    <row r="91">
      <c r="C91" s="39"/>
      <c r="D91" s="39"/>
    </row>
    <row r="92">
      <c r="C92" s="39"/>
      <c r="D92" s="39"/>
    </row>
    <row r="93">
      <c r="C93" s="39"/>
      <c r="D93" s="39"/>
    </row>
    <row r="94">
      <c r="C94" s="39"/>
      <c r="D94" s="39"/>
    </row>
    <row r="95">
      <c r="C95" s="39"/>
      <c r="D95" s="39"/>
    </row>
    <row r="96">
      <c r="C96" s="39"/>
      <c r="D96" s="39"/>
    </row>
    <row r="97">
      <c r="C97" s="39"/>
      <c r="D97" s="39"/>
    </row>
    <row r="98">
      <c r="C98" s="39"/>
      <c r="D98" s="39"/>
    </row>
    <row r="99">
      <c r="C99" s="39"/>
      <c r="D99" s="39"/>
    </row>
    <row r="100">
      <c r="C100" s="39"/>
      <c r="D100" s="39"/>
    </row>
    <row r="101">
      <c r="C101" s="39"/>
      <c r="D101" s="39"/>
    </row>
    <row r="102">
      <c r="C102" s="39"/>
      <c r="D102" s="39"/>
    </row>
    <row r="103">
      <c r="C103" s="39"/>
      <c r="D103" s="39"/>
    </row>
    <row r="104">
      <c r="C104" s="39"/>
      <c r="D104" s="39"/>
    </row>
    <row r="105">
      <c r="C105" s="39"/>
      <c r="D105" s="39"/>
    </row>
    <row r="106">
      <c r="C106" s="39"/>
      <c r="D106" s="39"/>
    </row>
    <row r="107">
      <c r="C107" s="39"/>
      <c r="D107" s="39"/>
    </row>
    <row r="108">
      <c r="C108" s="39"/>
      <c r="D108" s="39"/>
    </row>
    <row r="109">
      <c r="C109" s="39"/>
      <c r="D109" s="39"/>
    </row>
    <row r="110">
      <c r="C110" s="39"/>
      <c r="D110" s="39"/>
    </row>
    <row r="111">
      <c r="C111" s="39"/>
      <c r="D111" s="39"/>
    </row>
    <row r="112">
      <c r="C112" s="39"/>
      <c r="D112" s="39"/>
    </row>
    <row r="113">
      <c r="C113" s="39"/>
      <c r="D113" s="39"/>
    </row>
    <row r="114">
      <c r="C114" s="39"/>
      <c r="D114" s="39"/>
    </row>
    <row r="115">
      <c r="C115" s="39"/>
      <c r="D115" s="39"/>
    </row>
    <row r="116">
      <c r="C116" s="39"/>
      <c r="D116" s="39"/>
    </row>
    <row r="117">
      <c r="C117" s="39"/>
      <c r="D117" s="39"/>
    </row>
    <row r="118">
      <c r="C118" s="39"/>
      <c r="D118" s="39"/>
    </row>
    <row r="119">
      <c r="C119" s="39"/>
      <c r="D119" s="39"/>
    </row>
    <row r="120">
      <c r="C120" s="39"/>
      <c r="D120" s="39"/>
    </row>
    <row r="121">
      <c r="C121" s="39"/>
      <c r="D121" s="39"/>
    </row>
    <row r="122">
      <c r="C122" s="39"/>
      <c r="D122" s="39"/>
    </row>
    <row r="123">
      <c r="C123" s="39"/>
      <c r="D123" s="39"/>
    </row>
    <row r="124">
      <c r="C124" s="39"/>
      <c r="D124" s="39"/>
    </row>
    <row r="125">
      <c r="C125" s="39"/>
      <c r="D125" s="39"/>
    </row>
    <row r="126">
      <c r="C126" s="39"/>
      <c r="D126" s="39"/>
    </row>
    <row r="127">
      <c r="C127" s="39"/>
      <c r="D127" s="39"/>
    </row>
    <row r="128">
      <c r="C128" s="39"/>
      <c r="D128" s="39"/>
    </row>
    <row r="129">
      <c r="C129" s="39"/>
      <c r="D129" s="39"/>
    </row>
    <row r="130">
      <c r="C130" s="39"/>
      <c r="D130" s="39"/>
    </row>
    <row r="131">
      <c r="C131" s="39"/>
      <c r="D131" s="39"/>
    </row>
    <row r="132">
      <c r="C132" s="39"/>
      <c r="D132" s="39"/>
    </row>
    <row r="133">
      <c r="C133" s="39"/>
      <c r="D133" s="39"/>
    </row>
    <row r="134">
      <c r="C134" s="39"/>
      <c r="D134" s="39"/>
    </row>
    <row r="135">
      <c r="C135" s="39"/>
      <c r="D135" s="39"/>
    </row>
    <row r="136">
      <c r="C136" s="39"/>
      <c r="D136" s="39"/>
    </row>
    <row r="137">
      <c r="C137" s="39"/>
      <c r="D137" s="39"/>
    </row>
    <row r="138">
      <c r="C138" s="39"/>
      <c r="D138" s="39"/>
    </row>
    <row r="139">
      <c r="C139" s="39"/>
      <c r="D139" s="39"/>
    </row>
    <row r="140">
      <c r="C140" s="39"/>
      <c r="D140" s="39"/>
    </row>
    <row r="141">
      <c r="C141" s="39"/>
      <c r="D141" s="39"/>
    </row>
    <row r="142">
      <c r="C142" s="39"/>
      <c r="D142" s="39"/>
    </row>
    <row r="143">
      <c r="C143" s="39"/>
      <c r="D143" s="39"/>
    </row>
    <row r="144">
      <c r="C144" s="39"/>
      <c r="D144" s="39"/>
    </row>
    <row r="145">
      <c r="C145" s="39"/>
      <c r="D145" s="39"/>
    </row>
    <row r="146">
      <c r="C146" s="39"/>
      <c r="D146" s="39"/>
    </row>
    <row r="147">
      <c r="C147" s="39"/>
      <c r="D147" s="39"/>
    </row>
    <row r="148">
      <c r="C148" s="39"/>
      <c r="D148" s="39"/>
    </row>
    <row r="149">
      <c r="C149" s="39"/>
      <c r="D149" s="39"/>
    </row>
    <row r="150">
      <c r="C150" s="39"/>
      <c r="D150" s="39"/>
    </row>
    <row r="151">
      <c r="C151" s="39"/>
      <c r="D151" s="39"/>
    </row>
    <row r="152">
      <c r="C152" s="39"/>
      <c r="D152" s="39"/>
    </row>
    <row r="153">
      <c r="C153" s="39"/>
      <c r="D153" s="39"/>
    </row>
    <row r="154">
      <c r="C154" s="39"/>
      <c r="D154" s="39"/>
    </row>
    <row r="155">
      <c r="C155" s="39"/>
      <c r="D155" s="39"/>
    </row>
    <row r="156">
      <c r="C156" s="39"/>
      <c r="D156" s="39"/>
    </row>
    <row r="157">
      <c r="C157" s="39"/>
      <c r="D157" s="39"/>
    </row>
    <row r="158">
      <c r="C158" s="39"/>
      <c r="D158" s="39"/>
    </row>
    <row r="159">
      <c r="C159" s="39"/>
      <c r="D159" s="39"/>
    </row>
    <row r="160">
      <c r="C160" s="39"/>
      <c r="D160" s="39"/>
    </row>
    <row r="161">
      <c r="C161" s="39"/>
      <c r="D161" s="39"/>
    </row>
    <row r="162">
      <c r="C162" s="39"/>
      <c r="D162" s="39"/>
    </row>
    <row r="163">
      <c r="C163" s="39"/>
      <c r="D163" s="39"/>
    </row>
    <row r="164">
      <c r="C164" s="39"/>
      <c r="D164" s="39"/>
    </row>
    <row r="165">
      <c r="C165" s="39"/>
      <c r="D165" s="39"/>
    </row>
    <row r="166">
      <c r="C166" s="39"/>
      <c r="D166" s="39"/>
    </row>
    <row r="167">
      <c r="C167" s="39"/>
      <c r="D167" s="39"/>
    </row>
    <row r="168">
      <c r="C168" s="39"/>
      <c r="D168" s="39"/>
    </row>
    <row r="169">
      <c r="C169" s="39"/>
      <c r="D169" s="39"/>
    </row>
    <row r="170">
      <c r="C170" s="39"/>
      <c r="D170" s="39"/>
    </row>
    <row r="171">
      <c r="C171" s="39"/>
      <c r="D171" s="39"/>
    </row>
    <row r="172">
      <c r="C172" s="39"/>
      <c r="D172" s="39"/>
    </row>
    <row r="173">
      <c r="C173" s="39"/>
      <c r="D173" s="39"/>
    </row>
    <row r="174">
      <c r="C174" s="39"/>
      <c r="D174" s="39"/>
    </row>
    <row r="175">
      <c r="C175" s="39"/>
      <c r="D175" s="39"/>
    </row>
    <row r="176">
      <c r="C176" s="39"/>
      <c r="D176" s="39"/>
    </row>
    <row r="177">
      <c r="C177" s="39"/>
      <c r="D177" s="39"/>
    </row>
    <row r="178">
      <c r="C178" s="39"/>
      <c r="D178" s="39"/>
    </row>
    <row r="179">
      <c r="C179" s="39"/>
      <c r="D179" s="39"/>
    </row>
    <row r="180">
      <c r="C180" s="39"/>
      <c r="D180" s="39"/>
    </row>
    <row r="181">
      <c r="C181" s="39"/>
      <c r="D181" s="39"/>
    </row>
    <row r="182">
      <c r="C182" s="39"/>
      <c r="D182" s="39"/>
    </row>
    <row r="183">
      <c r="C183" s="39"/>
      <c r="D183" s="39"/>
    </row>
    <row r="184">
      <c r="C184" s="39"/>
      <c r="D184" s="39"/>
    </row>
    <row r="185">
      <c r="C185" s="39"/>
      <c r="D185" s="39"/>
    </row>
    <row r="186">
      <c r="C186" s="39"/>
      <c r="D186" s="39"/>
    </row>
    <row r="187">
      <c r="C187" s="39"/>
      <c r="D187" s="39"/>
    </row>
    <row r="188">
      <c r="C188" s="39"/>
      <c r="D188" s="39"/>
    </row>
    <row r="189">
      <c r="C189" s="39"/>
      <c r="D189" s="39"/>
    </row>
    <row r="190">
      <c r="C190" s="39"/>
      <c r="D190" s="39"/>
    </row>
    <row r="191">
      <c r="C191" s="39"/>
      <c r="D191" s="39"/>
    </row>
    <row r="192">
      <c r="C192" s="39"/>
      <c r="D192" s="39"/>
    </row>
    <row r="193">
      <c r="C193" s="39"/>
      <c r="D193" s="39"/>
    </row>
    <row r="194">
      <c r="C194" s="39"/>
      <c r="D194" s="39"/>
    </row>
    <row r="195">
      <c r="C195" s="39"/>
      <c r="D195" s="39"/>
    </row>
    <row r="196">
      <c r="C196" s="39"/>
      <c r="D196" s="39"/>
    </row>
    <row r="197">
      <c r="C197" s="39"/>
      <c r="D197" s="39"/>
    </row>
    <row r="198">
      <c r="C198" s="39"/>
      <c r="D198" s="39"/>
    </row>
    <row r="199">
      <c r="C199" s="39"/>
      <c r="D199" s="39"/>
    </row>
    <row r="200">
      <c r="C200" s="39"/>
      <c r="D200" s="39"/>
    </row>
    <row r="201">
      <c r="C201" s="39"/>
      <c r="D201" s="39"/>
    </row>
    <row r="202">
      <c r="C202" s="39"/>
      <c r="D202" s="39"/>
    </row>
    <row r="203">
      <c r="C203" s="39"/>
      <c r="D203" s="39"/>
    </row>
    <row r="204">
      <c r="C204" s="39"/>
      <c r="D204" s="39"/>
    </row>
    <row r="205">
      <c r="C205" s="39"/>
      <c r="D205" s="39"/>
    </row>
    <row r="206">
      <c r="C206" s="39"/>
      <c r="D206" s="39"/>
    </row>
    <row r="207">
      <c r="C207" s="39"/>
      <c r="D207" s="39"/>
    </row>
    <row r="208">
      <c r="C208" s="39"/>
      <c r="D208" s="39"/>
    </row>
    <row r="209">
      <c r="C209" s="39"/>
      <c r="D209" s="39"/>
    </row>
    <row r="210">
      <c r="C210" s="39"/>
      <c r="D210" s="39"/>
    </row>
    <row r="211">
      <c r="C211" s="39"/>
      <c r="D211" s="39"/>
    </row>
    <row r="212">
      <c r="C212" s="39"/>
      <c r="D212" s="39"/>
    </row>
    <row r="213">
      <c r="C213" s="39"/>
      <c r="D213" s="39"/>
    </row>
    <row r="214">
      <c r="C214" s="39"/>
      <c r="D214" s="39"/>
    </row>
    <row r="215">
      <c r="C215" s="39"/>
      <c r="D215" s="39"/>
    </row>
    <row r="216">
      <c r="C216" s="39"/>
      <c r="D216" s="39"/>
    </row>
    <row r="217">
      <c r="C217" s="39"/>
      <c r="D217" s="39"/>
    </row>
    <row r="218">
      <c r="C218" s="39"/>
      <c r="D218" s="39"/>
    </row>
    <row r="219">
      <c r="C219" s="39"/>
      <c r="D219" s="39"/>
    </row>
    <row r="220">
      <c r="C220" s="39"/>
      <c r="D220" s="39"/>
    </row>
    <row r="221">
      <c r="C221" s="39"/>
      <c r="D221" s="39"/>
    </row>
    <row r="222">
      <c r="C222" s="39"/>
      <c r="D222" s="39"/>
    </row>
    <row r="223">
      <c r="C223" s="39"/>
      <c r="D223" s="39"/>
    </row>
    <row r="224">
      <c r="C224" s="39"/>
      <c r="D224" s="39"/>
    </row>
    <row r="225">
      <c r="C225" s="39"/>
      <c r="D225" s="39"/>
    </row>
    <row r="226">
      <c r="C226" s="39"/>
      <c r="D226" s="39"/>
    </row>
    <row r="227">
      <c r="C227" s="39"/>
      <c r="D227" s="39"/>
    </row>
    <row r="228">
      <c r="C228" s="39"/>
      <c r="D228" s="39"/>
    </row>
    <row r="229">
      <c r="C229" s="39"/>
      <c r="D229" s="39"/>
    </row>
    <row r="230">
      <c r="C230" s="39"/>
      <c r="D230" s="39"/>
    </row>
    <row r="231">
      <c r="C231" s="39"/>
      <c r="D231" s="39"/>
    </row>
    <row r="232">
      <c r="C232" s="39"/>
      <c r="D232" s="39"/>
    </row>
    <row r="233">
      <c r="C233" s="39"/>
      <c r="D233" s="39"/>
    </row>
    <row r="234">
      <c r="C234" s="39"/>
      <c r="D234" s="39"/>
    </row>
    <row r="235">
      <c r="C235" s="39"/>
      <c r="D235" s="39"/>
    </row>
    <row r="236">
      <c r="C236" s="39"/>
      <c r="D236" s="39"/>
    </row>
    <row r="237">
      <c r="C237" s="39"/>
      <c r="D237" s="39"/>
    </row>
    <row r="238">
      <c r="C238" s="39"/>
      <c r="D238" s="39"/>
    </row>
    <row r="239">
      <c r="C239" s="39"/>
      <c r="D239" s="39"/>
    </row>
    <row r="240">
      <c r="C240" s="39"/>
      <c r="D240" s="39"/>
    </row>
    <row r="241">
      <c r="C241" s="39"/>
      <c r="D241" s="39"/>
    </row>
    <row r="242">
      <c r="C242" s="39"/>
      <c r="D242" s="39"/>
    </row>
    <row r="243">
      <c r="C243" s="39"/>
      <c r="D243" s="39"/>
    </row>
    <row r="244">
      <c r="C244" s="39"/>
      <c r="D244" s="39"/>
    </row>
    <row r="245">
      <c r="C245" s="39"/>
      <c r="D245" s="39"/>
    </row>
    <row r="246">
      <c r="C246" s="39"/>
      <c r="D246" s="39"/>
    </row>
    <row r="247">
      <c r="C247" s="39"/>
      <c r="D247" s="39"/>
    </row>
    <row r="248">
      <c r="C248" s="39"/>
      <c r="D248" s="39"/>
    </row>
    <row r="249">
      <c r="C249" s="39"/>
      <c r="D249" s="39"/>
    </row>
    <row r="250">
      <c r="C250" s="39"/>
      <c r="D250" s="39"/>
    </row>
    <row r="251">
      <c r="C251" s="39"/>
      <c r="D251" s="39"/>
    </row>
    <row r="252">
      <c r="C252" s="39"/>
      <c r="D252" s="39"/>
    </row>
    <row r="253">
      <c r="C253" s="39"/>
      <c r="D253" s="39"/>
    </row>
    <row r="254">
      <c r="C254" s="39"/>
      <c r="D254" s="39"/>
    </row>
    <row r="255">
      <c r="C255" s="39"/>
      <c r="D255" s="39"/>
    </row>
    <row r="256">
      <c r="C256" s="39"/>
      <c r="D256" s="39"/>
    </row>
    <row r="257">
      <c r="C257" s="39"/>
      <c r="D257" s="39"/>
    </row>
    <row r="258">
      <c r="C258" s="39"/>
      <c r="D258" s="39"/>
    </row>
    <row r="259">
      <c r="C259" s="39"/>
      <c r="D259" s="39"/>
    </row>
    <row r="260">
      <c r="C260" s="39"/>
      <c r="D260" s="39"/>
    </row>
    <row r="261">
      <c r="C261" s="39"/>
      <c r="D261" s="39"/>
    </row>
    <row r="262">
      <c r="C262" s="39"/>
      <c r="D262" s="39"/>
    </row>
    <row r="263">
      <c r="C263" s="39"/>
      <c r="D263" s="39"/>
    </row>
    <row r="264">
      <c r="C264" s="39"/>
      <c r="D264" s="39"/>
    </row>
    <row r="265">
      <c r="C265" s="39"/>
      <c r="D265" s="39"/>
    </row>
    <row r="266">
      <c r="C266" s="39"/>
      <c r="D266" s="39"/>
    </row>
    <row r="267">
      <c r="C267" s="39"/>
      <c r="D267" s="39"/>
    </row>
    <row r="268">
      <c r="C268" s="39"/>
      <c r="D268" s="39"/>
    </row>
    <row r="269">
      <c r="C269" s="39"/>
      <c r="D269" s="39"/>
    </row>
    <row r="270">
      <c r="C270" s="39"/>
      <c r="D270" s="39"/>
    </row>
    <row r="271">
      <c r="C271" s="39"/>
      <c r="D271" s="39"/>
    </row>
    <row r="272">
      <c r="C272" s="39"/>
      <c r="D272" s="39"/>
    </row>
    <row r="273">
      <c r="C273" s="39"/>
      <c r="D273" s="39"/>
    </row>
    <row r="274">
      <c r="C274" s="39"/>
      <c r="D274" s="39"/>
    </row>
    <row r="275">
      <c r="C275" s="39"/>
      <c r="D275" s="39"/>
    </row>
    <row r="276">
      <c r="C276" s="39"/>
      <c r="D276" s="39"/>
    </row>
    <row r="277">
      <c r="C277" s="39"/>
      <c r="D277" s="39"/>
    </row>
    <row r="278">
      <c r="C278" s="39"/>
      <c r="D278" s="39"/>
    </row>
    <row r="279">
      <c r="C279" s="39"/>
      <c r="D279" s="39"/>
    </row>
    <row r="280">
      <c r="C280" s="39"/>
      <c r="D280" s="39"/>
    </row>
    <row r="281">
      <c r="C281" s="39"/>
      <c r="D281" s="39"/>
    </row>
    <row r="282">
      <c r="C282" s="39"/>
      <c r="D282" s="39"/>
    </row>
    <row r="283">
      <c r="C283" s="39"/>
      <c r="D283" s="39"/>
    </row>
    <row r="284">
      <c r="C284" s="39"/>
      <c r="D284" s="39"/>
    </row>
    <row r="285">
      <c r="C285" s="39"/>
      <c r="D285" s="39"/>
    </row>
    <row r="286">
      <c r="C286" s="39"/>
      <c r="D286" s="39"/>
    </row>
    <row r="287">
      <c r="C287" s="39"/>
      <c r="D287" s="39"/>
    </row>
    <row r="288">
      <c r="C288" s="39"/>
      <c r="D288" s="39"/>
    </row>
    <row r="289">
      <c r="C289" s="39"/>
      <c r="D289" s="39"/>
    </row>
    <row r="290">
      <c r="C290" s="39"/>
      <c r="D290" s="39"/>
    </row>
    <row r="291">
      <c r="C291" s="39"/>
      <c r="D291" s="39"/>
    </row>
    <row r="292">
      <c r="C292" s="39"/>
      <c r="D292" s="39"/>
    </row>
    <row r="293">
      <c r="C293" s="39"/>
      <c r="D293" s="39"/>
    </row>
    <row r="294">
      <c r="C294" s="39"/>
      <c r="D294" s="39"/>
    </row>
    <row r="295">
      <c r="C295" s="39"/>
      <c r="D295" s="39"/>
    </row>
    <row r="296">
      <c r="C296" s="39"/>
      <c r="D296" s="39"/>
    </row>
    <row r="297">
      <c r="C297" s="39"/>
      <c r="D297" s="39"/>
    </row>
    <row r="298">
      <c r="C298" s="39"/>
      <c r="D298" s="39"/>
    </row>
    <row r="299">
      <c r="C299" s="39"/>
      <c r="D299" s="39"/>
    </row>
    <row r="300">
      <c r="C300" s="39"/>
      <c r="D300" s="39"/>
    </row>
    <row r="301">
      <c r="C301" s="39"/>
      <c r="D301" s="39"/>
    </row>
    <row r="302">
      <c r="C302" s="39"/>
      <c r="D302" s="39"/>
    </row>
    <row r="303">
      <c r="C303" s="39"/>
      <c r="D303" s="39"/>
    </row>
    <row r="304">
      <c r="C304" s="39"/>
      <c r="D304" s="39"/>
    </row>
    <row r="305">
      <c r="C305" s="39"/>
      <c r="D305" s="39"/>
    </row>
    <row r="306">
      <c r="C306" s="39"/>
      <c r="D306" s="39"/>
    </row>
    <row r="307">
      <c r="C307" s="39"/>
      <c r="D307" s="39"/>
    </row>
    <row r="308">
      <c r="C308" s="39"/>
      <c r="D308" s="39"/>
    </row>
    <row r="309">
      <c r="C309" s="39"/>
      <c r="D309" s="39"/>
    </row>
    <row r="310">
      <c r="C310" s="39"/>
      <c r="D310" s="39"/>
    </row>
    <row r="311">
      <c r="C311" s="39"/>
      <c r="D311" s="39"/>
    </row>
    <row r="312">
      <c r="C312" s="39"/>
      <c r="D312" s="39"/>
    </row>
    <row r="313">
      <c r="C313" s="39"/>
      <c r="D313" s="39"/>
    </row>
    <row r="314">
      <c r="C314" s="39"/>
      <c r="D314" s="39"/>
    </row>
    <row r="315">
      <c r="C315" s="39"/>
      <c r="D315" s="39"/>
    </row>
    <row r="316">
      <c r="C316" s="39"/>
      <c r="D316" s="39"/>
    </row>
    <row r="317">
      <c r="C317" s="39"/>
      <c r="D317" s="39"/>
    </row>
    <row r="318">
      <c r="C318" s="39"/>
      <c r="D318" s="39"/>
    </row>
    <row r="319">
      <c r="C319" s="39"/>
      <c r="D319" s="39"/>
    </row>
    <row r="320">
      <c r="C320" s="39"/>
      <c r="D320" s="39"/>
    </row>
    <row r="321">
      <c r="C321" s="39"/>
      <c r="D321" s="39"/>
    </row>
    <row r="322">
      <c r="C322" s="39"/>
      <c r="D322" s="39"/>
    </row>
    <row r="323">
      <c r="C323" s="39"/>
      <c r="D323" s="39"/>
    </row>
    <row r="324">
      <c r="C324" s="39"/>
      <c r="D324" s="39"/>
    </row>
    <row r="325">
      <c r="C325" s="39"/>
      <c r="D325" s="39"/>
    </row>
    <row r="326">
      <c r="C326" s="39"/>
      <c r="D326" s="39"/>
    </row>
    <row r="327">
      <c r="C327" s="39"/>
      <c r="D327" s="39"/>
    </row>
    <row r="328">
      <c r="C328" s="39"/>
      <c r="D328" s="39"/>
    </row>
    <row r="329">
      <c r="C329" s="39"/>
      <c r="D329" s="39"/>
    </row>
    <row r="330">
      <c r="C330" s="39"/>
      <c r="D330" s="39"/>
    </row>
    <row r="331">
      <c r="C331" s="39"/>
      <c r="D331" s="39"/>
    </row>
    <row r="332">
      <c r="C332" s="39"/>
      <c r="D332" s="39"/>
    </row>
    <row r="333">
      <c r="C333" s="39"/>
      <c r="D333" s="39"/>
    </row>
    <row r="334">
      <c r="C334" s="39"/>
      <c r="D334" s="39"/>
    </row>
    <row r="335">
      <c r="C335" s="39"/>
      <c r="D335" s="39"/>
    </row>
    <row r="336">
      <c r="C336" s="39"/>
      <c r="D336" s="39"/>
    </row>
    <row r="337">
      <c r="C337" s="39"/>
      <c r="D337" s="39"/>
    </row>
    <row r="338">
      <c r="C338" s="39"/>
      <c r="D338" s="39"/>
    </row>
    <row r="339">
      <c r="C339" s="39"/>
      <c r="D339" s="39"/>
    </row>
    <row r="340">
      <c r="C340" s="39"/>
      <c r="D340" s="39"/>
    </row>
    <row r="341">
      <c r="C341" s="39"/>
      <c r="D341" s="39"/>
    </row>
    <row r="342">
      <c r="C342" s="39"/>
      <c r="D342" s="39"/>
    </row>
    <row r="343">
      <c r="C343" s="39"/>
      <c r="D343" s="39"/>
    </row>
    <row r="344">
      <c r="C344" s="39"/>
      <c r="D344" s="39"/>
    </row>
    <row r="345">
      <c r="C345" s="39"/>
      <c r="D345" s="39"/>
    </row>
    <row r="346">
      <c r="C346" s="39"/>
      <c r="D346" s="39"/>
    </row>
    <row r="347">
      <c r="C347" s="39"/>
      <c r="D347" s="39"/>
    </row>
    <row r="348">
      <c r="C348" s="39"/>
      <c r="D348" s="39"/>
    </row>
    <row r="349">
      <c r="C349" s="39"/>
      <c r="D349" s="39"/>
    </row>
    <row r="350">
      <c r="C350" s="39"/>
      <c r="D350" s="39"/>
    </row>
    <row r="351">
      <c r="C351" s="39"/>
      <c r="D351" s="39"/>
    </row>
    <row r="352">
      <c r="C352" s="39"/>
      <c r="D352" s="39"/>
    </row>
    <row r="353">
      <c r="C353" s="39"/>
      <c r="D353" s="39"/>
    </row>
    <row r="354">
      <c r="C354" s="39"/>
      <c r="D354" s="39"/>
    </row>
    <row r="355">
      <c r="C355" s="39"/>
      <c r="D355" s="39"/>
    </row>
    <row r="356">
      <c r="C356" s="39"/>
      <c r="D356" s="39"/>
    </row>
    <row r="357">
      <c r="C357" s="39"/>
      <c r="D357" s="39"/>
    </row>
    <row r="358">
      <c r="C358" s="39"/>
      <c r="D358" s="39"/>
    </row>
    <row r="359">
      <c r="C359" s="39"/>
      <c r="D359" s="39"/>
    </row>
    <row r="360">
      <c r="C360" s="39"/>
      <c r="D360" s="39"/>
    </row>
    <row r="361">
      <c r="C361" s="39"/>
      <c r="D361" s="39"/>
    </row>
    <row r="362">
      <c r="C362" s="39"/>
      <c r="D362" s="39"/>
    </row>
    <row r="363">
      <c r="C363" s="39"/>
      <c r="D363" s="39"/>
    </row>
    <row r="364">
      <c r="C364" s="39"/>
      <c r="D364" s="39"/>
    </row>
    <row r="365">
      <c r="C365" s="39"/>
      <c r="D365" s="39"/>
    </row>
    <row r="366">
      <c r="C366" s="39"/>
      <c r="D366" s="39"/>
    </row>
    <row r="367">
      <c r="C367" s="39"/>
      <c r="D367" s="39"/>
    </row>
    <row r="368">
      <c r="C368" s="39"/>
      <c r="D368" s="39"/>
    </row>
    <row r="369">
      <c r="C369" s="39"/>
      <c r="D369" s="39"/>
    </row>
    <row r="370">
      <c r="C370" s="39"/>
      <c r="D370" s="39"/>
    </row>
    <row r="371">
      <c r="C371" s="39"/>
      <c r="D371" s="39"/>
    </row>
    <row r="372">
      <c r="C372" s="39"/>
      <c r="D372" s="39"/>
    </row>
    <row r="373">
      <c r="C373" s="39"/>
      <c r="D373" s="39"/>
    </row>
    <row r="374">
      <c r="C374" s="39"/>
      <c r="D374" s="39"/>
    </row>
    <row r="375">
      <c r="C375" s="39"/>
      <c r="D375" s="39"/>
    </row>
    <row r="376">
      <c r="C376" s="39"/>
      <c r="D376" s="39"/>
    </row>
    <row r="377">
      <c r="C377" s="39"/>
      <c r="D377" s="39"/>
    </row>
    <row r="378">
      <c r="C378" s="39"/>
      <c r="D378" s="39"/>
    </row>
    <row r="379">
      <c r="C379" s="39"/>
      <c r="D379" s="39"/>
    </row>
    <row r="380">
      <c r="C380" s="39"/>
      <c r="D380" s="39"/>
    </row>
    <row r="381">
      <c r="C381" s="39"/>
      <c r="D381" s="39"/>
    </row>
    <row r="382">
      <c r="C382" s="39"/>
      <c r="D382" s="39"/>
    </row>
    <row r="383">
      <c r="C383" s="39"/>
      <c r="D383" s="39"/>
    </row>
    <row r="384">
      <c r="C384" s="39"/>
      <c r="D384" s="39"/>
    </row>
    <row r="385">
      <c r="C385" s="39"/>
      <c r="D385" s="39"/>
    </row>
    <row r="386">
      <c r="C386" s="39"/>
      <c r="D386" s="39"/>
    </row>
    <row r="387">
      <c r="C387" s="39"/>
      <c r="D387" s="39"/>
    </row>
    <row r="388">
      <c r="C388" s="39"/>
      <c r="D388" s="39"/>
    </row>
    <row r="389">
      <c r="C389" s="39"/>
      <c r="D389" s="39"/>
    </row>
    <row r="390">
      <c r="C390" s="39"/>
      <c r="D390" s="39"/>
    </row>
    <row r="391">
      <c r="C391" s="39"/>
      <c r="D391" s="39"/>
    </row>
    <row r="392">
      <c r="C392" s="39"/>
      <c r="D392" s="39"/>
    </row>
    <row r="393">
      <c r="C393" s="39"/>
      <c r="D393" s="39"/>
    </row>
    <row r="394">
      <c r="C394" s="39"/>
      <c r="D394" s="39"/>
    </row>
    <row r="395">
      <c r="C395" s="39"/>
      <c r="D395" s="39"/>
    </row>
    <row r="396">
      <c r="C396" s="39"/>
      <c r="D396" s="39"/>
    </row>
    <row r="397">
      <c r="C397" s="39"/>
      <c r="D397" s="39"/>
    </row>
    <row r="398">
      <c r="C398" s="39"/>
      <c r="D398" s="39"/>
    </row>
    <row r="399">
      <c r="C399" s="39"/>
      <c r="D399" s="39"/>
    </row>
    <row r="400">
      <c r="C400" s="39"/>
      <c r="D400" s="39"/>
    </row>
    <row r="401">
      <c r="C401" s="39"/>
      <c r="D401" s="39"/>
    </row>
    <row r="402">
      <c r="C402" s="39"/>
      <c r="D402" s="39"/>
    </row>
    <row r="403">
      <c r="C403" s="39"/>
      <c r="D403" s="39"/>
    </row>
    <row r="404">
      <c r="C404" s="39"/>
      <c r="D404" s="39"/>
    </row>
    <row r="405">
      <c r="C405" s="39"/>
      <c r="D405" s="39"/>
    </row>
    <row r="406">
      <c r="C406" s="39"/>
      <c r="D406" s="39"/>
    </row>
    <row r="407">
      <c r="C407" s="39"/>
      <c r="D407" s="39"/>
    </row>
    <row r="408">
      <c r="C408" s="39"/>
      <c r="D408" s="39"/>
    </row>
    <row r="409">
      <c r="C409" s="39"/>
      <c r="D409" s="39"/>
    </row>
    <row r="410">
      <c r="C410" s="39"/>
      <c r="D410" s="39"/>
    </row>
    <row r="411">
      <c r="C411" s="39"/>
      <c r="D411" s="39"/>
    </row>
    <row r="412">
      <c r="C412" s="39"/>
      <c r="D412" s="39"/>
    </row>
    <row r="413">
      <c r="C413" s="39"/>
      <c r="D413" s="39"/>
    </row>
    <row r="414">
      <c r="C414" s="39"/>
      <c r="D414" s="39"/>
    </row>
    <row r="415">
      <c r="C415" s="39"/>
      <c r="D415" s="39"/>
    </row>
    <row r="416">
      <c r="C416" s="39"/>
      <c r="D416" s="39"/>
    </row>
    <row r="417">
      <c r="C417" s="39"/>
      <c r="D417" s="39"/>
    </row>
    <row r="418">
      <c r="C418" s="39"/>
      <c r="D418" s="39"/>
    </row>
    <row r="419">
      <c r="C419" s="39"/>
      <c r="D419" s="39"/>
    </row>
    <row r="420">
      <c r="C420" s="39"/>
      <c r="D420" s="39"/>
    </row>
    <row r="421">
      <c r="C421" s="39"/>
      <c r="D421" s="39"/>
    </row>
    <row r="422">
      <c r="C422" s="39"/>
      <c r="D422" s="39"/>
    </row>
    <row r="423">
      <c r="C423" s="39"/>
      <c r="D423" s="39"/>
    </row>
    <row r="424">
      <c r="C424" s="39"/>
      <c r="D424" s="39"/>
    </row>
    <row r="425">
      <c r="C425" s="39"/>
      <c r="D425" s="39"/>
    </row>
    <row r="426">
      <c r="C426" s="39"/>
      <c r="D426" s="39"/>
    </row>
    <row r="427">
      <c r="C427" s="39"/>
      <c r="D427" s="39"/>
    </row>
    <row r="428">
      <c r="C428" s="39"/>
      <c r="D428" s="39"/>
    </row>
    <row r="429">
      <c r="C429" s="39"/>
      <c r="D429" s="39"/>
    </row>
    <row r="430">
      <c r="C430" s="39"/>
      <c r="D430" s="39"/>
    </row>
    <row r="431">
      <c r="C431" s="39"/>
      <c r="D431" s="39"/>
    </row>
    <row r="432">
      <c r="C432" s="39"/>
      <c r="D432" s="39"/>
    </row>
    <row r="433">
      <c r="C433" s="39"/>
      <c r="D433" s="39"/>
    </row>
    <row r="434">
      <c r="C434" s="39"/>
      <c r="D434" s="39"/>
    </row>
    <row r="435">
      <c r="C435" s="39"/>
      <c r="D435" s="39"/>
    </row>
    <row r="436">
      <c r="C436" s="39"/>
      <c r="D436" s="39"/>
    </row>
    <row r="437">
      <c r="C437" s="39"/>
      <c r="D437" s="39"/>
    </row>
    <row r="438">
      <c r="C438" s="39"/>
      <c r="D438" s="39"/>
    </row>
    <row r="439">
      <c r="C439" s="39"/>
      <c r="D439" s="39"/>
    </row>
    <row r="440">
      <c r="C440" s="39"/>
      <c r="D440" s="39"/>
    </row>
    <row r="441">
      <c r="C441" s="39"/>
      <c r="D441" s="39"/>
    </row>
    <row r="442">
      <c r="C442" s="39"/>
      <c r="D442" s="39"/>
    </row>
    <row r="443">
      <c r="C443" s="39"/>
      <c r="D443" s="39"/>
    </row>
    <row r="444">
      <c r="C444" s="39"/>
      <c r="D444" s="39"/>
    </row>
    <row r="445">
      <c r="C445" s="39"/>
      <c r="D445" s="39"/>
    </row>
    <row r="446">
      <c r="C446" s="39"/>
      <c r="D446" s="39"/>
    </row>
    <row r="447">
      <c r="C447" s="39"/>
      <c r="D447" s="39"/>
    </row>
    <row r="448">
      <c r="C448" s="39"/>
      <c r="D448" s="39"/>
    </row>
    <row r="449">
      <c r="C449" s="39"/>
      <c r="D449" s="39"/>
    </row>
    <row r="450">
      <c r="C450" s="39"/>
      <c r="D450" s="39"/>
    </row>
    <row r="451">
      <c r="C451" s="39"/>
      <c r="D451" s="39"/>
    </row>
    <row r="452">
      <c r="C452" s="39"/>
      <c r="D452" s="39"/>
    </row>
    <row r="453">
      <c r="C453" s="39"/>
      <c r="D453" s="39"/>
    </row>
    <row r="454">
      <c r="C454" s="39"/>
      <c r="D454" s="39"/>
    </row>
    <row r="455">
      <c r="C455" s="39"/>
      <c r="D455" s="39"/>
    </row>
    <row r="456">
      <c r="C456" s="39"/>
      <c r="D456" s="39"/>
    </row>
    <row r="457">
      <c r="C457" s="39"/>
      <c r="D457" s="39"/>
    </row>
    <row r="458">
      <c r="C458" s="39"/>
      <c r="D458" s="39"/>
    </row>
    <row r="459">
      <c r="C459" s="39"/>
      <c r="D459" s="39"/>
    </row>
    <row r="460">
      <c r="C460" s="39"/>
      <c r="D460" s="39"/>
    </row>
    <row r="461">
      <c r="C461" s="39"/>
      <c r="D461" s="39"/>
    </row>
    <row r="462">
      <c r="C462" s="39"/>
      <c r="D462" s="39"/>
    </row>
    <row r="463">
      <c r="C463" s="39"/>
      <c r="D463" s="39"/>
    </row>
    <row r="464">
      <c r="C464" s="39"/>
      <c r="D464" s="39"/>
    </row>
    <row r="465">
      <c r="C465" s="39"/>
      <c r="D465" s="39"/>
    </row>
    <row r="466">
      <c r="C466" s="39"/>
      <c r="D466" s="39"/>
    </row>
    <row r="467">
      <c r="C467" s="39"/>
      <c r="D467" s="39"/>
    </row>
    <row r="468">
      <c r="C468" s="39"/>
      <c r="D468" s="39"/>
    </row>
    <row r="469">
      <c r="C469" s="39"/>
      <c r="D469" s="39"/>
    </row>
    <row r="470">
      <c r="C470" s="39"/>
      <c r="D470" s="39"/>
    </row>
    <row r="471">
      <c r="C471" s="39"/>
      <c r="D471" s="39"/>
    </row>
    <row r="472">
      <c r="C472" s="39"/>
      <c r="D472" s="39"/>
    </row>
    <row r="473">
      <c r="C473" s="39"/>
      <c r="D473" s="39"/>
    </row>
    <row r="474">
      <c r="C474" s="39"/>
      <c r="D474" s="39"/>
    </row>
    <row r="475">
      <c r="C475" s="39"/>
      <c r="D475" s="39"/>
    </row>
    <row r="476">
      <c r="C476" s="39"/>
      <c r="D476" s="39"/>
    </row>
    <row r="477">
      <c r="C477" s="39"/>
      <c r="D477" s="39"/>
    </row>
    <row r="478">
      <c r="C478" s="39"/>
      <c r="D478" s="39"/>
    </row>
    <row r="479">
      <c r="C479" s="39"/>
      <c r="D479" s="39"/>
    </row>
    <row r="480">
      <c r="C480" s="39"/>
      <c r="D480" s="39"/>
    </row>
    <row r="481">
      <c r="C481" s="39"/>
      <c r="D481" s="39"/>
    </row>
    <row r="482">
      <c r="C482" s="39"/>
      <c r="D482" s="39"/>
    </row>
    <row r="483">
      <c r="C483" s="39"/>
      <c r="D483" s="39"/>
    </row>
    <row r="484">
      <c r="C484" s="39"/>
      <c r="D484" s="39"/>
    </row>
    <row r="485">
      <c r="C485" s="39"/>
      <c r="D485" s="39"/>
    </row>
    <row r="486">
      <c r="C486" s="39"/>
      <c r="D486" s="39"/>
    </row>
    <row r="487">
      <c r="C487" s="39"/>
      <c r="D487" s="39"/>
    </row>
    <row r="488">
      <c r="C488" s="39"/>
      <c r="D488" s="39"/>
    </row>
    <row r="489">
      <c r="C489" s="39"/>
      <c r="D489" s="39"/>
    </row>
    <row r="490">
      <c r="C490" s="39"/>
      <c r="D490" s="39"/>
    </row>
    <row r="491">
      <c r="C491" s="39"/>
      <c r="D491" s="39"/>
    </row>
    <row r="492">
      <c r="C492" s="39"/>
      <c r="D492" s="39"/>
    </row>
    <row r="493">
      <c r="C493" s="39"/>
      <c r="D493" s="39"/>
    </row>
    <row r="494">
      <c r="C494" s="39"/>
      <c r="D494" s="39"/>
    </row>
    <row r="495">
      <c r="C495" s="39"/>
      <c r="D495" s="39"/>
    </row>
    <row r="496">
      <c r="C496" s="39"/>
      <c r="D496" s="39"/>
    </row>
    <row r="497">
      <c r="C497" s="39"/>
      <c r="D497" s="39"/>
    </row>
    <row r="498">
      <c r="C498" s="39"/>
      <c r="D498" s="39"/>
    </row>
    <row r="499">
      <c r="C499" s="39"/>
      <c r="D499" s="39"/>
    </row>
    <row r="500">
      <c r="C500" s="39"/>
      <c r="D500" s="39"/>
    </row>
    <row r="501">
      <c r="C501" s="39"/>
      <c r="D501" s="39"/>
    </row>
    <row r="502">
      <c r="C502" s="39"/>
      <c r="D502" s="39"/>
    </row>
    <row r="503">
      <c r="C503" s="39"/>
      <c r="D503" s="39"/>
    </row>
    <row r="504">
      <c r="C504" s="39"/>
      <c r="D504" s="39"/>
    </row>
    <row r="505">
      <c r="C505" s="39"/>
      <c r="D505" s="39"/>
    </row>
    <row r="506">
      <c r="C506" s="39"/>
      <c r="D506" s="39"/>
    </row>
    <row r="507">
      <c r="C507" s="39"/>
      <c r="D507" s="39"/>
    </row>
    <row r="508">
      <c r="C508" s="39"/>
      <c r="D508" s="39"/>
    </row>
    <row r="509">
      <c r="C509" s="39"/>
      <c r="D509" s="39"/>
    </row>
    <row r="510">
      <c r="C510" s="39"/>
      <c r="D510" s="39"/>
    </row>
    <row r="511">
      <c r="C511" s="39"/>
      <c r="D511" s="39"/>
    </row>
    <row r="512">
      <c r="C512" s="39"/>
      <c r="D512" s="39"/>
    </row>
    <row r="513">
      <c r="C513" s="39"/>
      <c r="D513" s="39"/>
    </row>
    <row r="514">
      <c r="C514" s="39"/>
      <c r="D514" s="39"/>
    </row>
    <row r="515">
      <c r="C515" s="39"/>
      <c r="D515" s="39"/>
    </row>
    <row r="516">
      <c r="C516" s="39"/>
      <c r="D516" s="39"/>
    </row>
    <row r="517">
      <c r="C517" s="39"/>
      <c r="D517" s="39"/>
    </row>
    <row r="518">
      <c r="C518" s="39"/>
      <c r="D518" s="39"/>
    </row>
    <row r="519">
      <c r="C519" s="39"/>
      <c r="D519" s="39"/>
    </row>
    <row r="520">
      <c r="C520" s="39"/>
      <c r="D520" s="39"/>
    </row>
    <row r="521">
      <c r="C521" s="39"/>
      <c r="D521" s="39"/>
    </row>
    <row r="522">
      <c r="C522" s="39"/>
      <c r="D522" s="39"/>
    </row>
    <row r="523">
      <c r="C523" s="39"/>
      <c r="D523" s="39"/>
    </row>
    <row r="524">
      <c r="C524" s="39"/>
      <c r="D524" s="39"/>
    </row>
    <row r="525">
      <c r="C525" s="39"/>
      <c r="D525" s="39"/>
    </row>
    <row r="526">
      <c r="C526" s="39"/>
      <c r="D526" s="39"/>
    </row>
    <row r="527">
      <c r="C527" s="39"/>
      <c r="D527" s="39"/>
    </row>
    <row r="528">
      <c r="C528" s="39"/>
      <c r="D528" s="39"/>
    </row>
    <row r="529">
      <c r="C529" s="39"/>
      <c r="D529" s="39"/>
    </row>
    <row r="530">
      <c r="C530" s="39"/>
      <c r="D530" s="39"/>
    </row>
    <row r="531">
      <c r="C531" s="39"/>
      <c r="D531" s="39"/>
    </row>
    <row r="532">
      <c r="C532" s="39"/>
      <c r="D532" s="39"/>
    </row>
    <row r="533">
      <c r="C533" s="39"/>
      <c r="D533" s="39"/>
    </row>
    <row r="534">
      <c r="C534" s="39"/>
      <c r="D534" s="39"/>
    </row>
    <row r="535">
      <c r="C535" s="39"/>
      <c r="D535" s="39"/>
    </row>
    <row r="536">
      <c r="C536" s="39"/>
      <c r="D536" s="39"/>
    </row>
    <row r="537">
      <c r="C537" s="39"/>
      <c r="D537" s="39"/>
    </row>
    <row r="538">
      <c r="C538" s="39"/>
      <c r="D538" s="39"/>
    </row>
    <row r="539">
      <c r="C539" s="39"/>
      <c r="D539" s="39"/>
    </row>
    <row r="540">
      <c r="C540" s="39"/>
      <c r="D540" s="39"/>
    </row>
    <row r="541">
      <c r="C541" s="39"/>
      <c r="D541" s="39"/>
    </row>
    <row r="542">
      <c r="C542" s="39"/>
      <c r="D542" s="39"/>
    </row>
    <row r="543">
      <c r="C543" s="39"/>
      <c r="D543" s="39"/>
    </row>
    <row r="544">
      <c r="C544" s="39"/>
      <c r="D544" s="39"/>
    </row>
    <row r="545">
      <c r="C545" s="39"/>
      <c r="D545" s="39"/>
    </row>
    <row r="546">
      <c r="C546" s="39"/>
      <c r="D546" s="39"/>
    </row>
    <row r="547">
      <c r="C547" s="39"/>
      <c r="D547" s="39"/>
    </row>
    <row r="548">
      <c r="C548" s="39"/>
      <c r="D548" s="39"/>
    </row>
    <row r="549">
      <c r="C549" s="39"/>
      <c r="D549" s="39"/>
    </row>
    <row r="550">
      <c r="C550" s="39"/>
      <c r="D550" s="39"/>
    </row>
    <row r="551">
      <c r="C551" s="39"/>
      <c r="D551" s="39"/>
    </row>
    <row r="552">
      <c r="C552" s="39"/>
      <c r="D552" s="39"/>
    </row>
    <row r="553">
      <c r="C553" s="39"/>
      <c r="D553" s="39"/>
    </row>
    <row r="554">
      <c r="C554" s="39"/>
      <c r="D554" s="39"/>
    </row>
    <row r="555">
      <c r="C555" s="39"/>
      <c r="D555" s="39"/>
    </row>
    <row r="556">
      <c r="C556" s="39"/>
      <c r="D556" s="39"/>
    </row>
    <row r="557">
      <c r="C557" s="39"/>
      <c r="D557" s="39"/>
    </row>
    <row r="558">
      <c r="C558" s="39"/>
      <c r="D558" s="39"/>
    </row>
    <row r="559">
      <c r="C559" s="39"/>
      <c r="D559" s="39"/>
    </row>
    <row r="560">
      <c r="C560" s="39"/>
      <c r="D560" s="39"/>
    </row>
    <row r="561">
      <c r="C561" s="39"/>
      <c r="D561" s="39"/>
    </row>
    <row r="562">
      <c r="C562" s="39"/>
      <c r="D562" s="39"/>
    </row>
    <row r="563">
      <c r="C563" s="39"/>
      <c r="D563" s="39"/>
    </row>
    <row r="564">
      <c r="C564" s="39"/>
      <c r="D564" s="39"/>
    </row>
    <row r="565">
      <c r="C565" s="39"/>
      <c r="D565" s="39"/>
    </row>
    <row r="566">
      <c r="C566" s="39"/>
      <c r="D566" s="39"/>
    </row>
    <row r="567">
      <c r="C567" s="39"/>
      <c r="D567" s="39"/>
    </row>
    <row r="568">
      <c r="C568" s="39"/>
      <c r="D568" s="39"/>
    </row>
    <row r="569">
      <c r="C569" s="39"/>
      <c r="D569" s="39"/>
    </row>
    <row r="570">
      <c r="C570" s="39"/>
      <c r="D570" s="39"/>
    </row>
    <row r="571">
      <c r="C571" s="39"/>
      <c r="D571" s="39"/>
    </row>
    <row r="572">
      <c r="C572" s="39"/>
      <c r="D572" s="39"/>
    </row>
    <row r="573">
      <c r="C573" s="39"/>
      <c r="D573" s="39"/>
    </row>
    <row r="574">
      <c r="C574" s="39"/>
      <c r="D574" s="39"/>
    </row>
    <row r="575">
      <c r="C575" s="39"/>
      <c r="D575" s="39"/>
    </row>
    <row r="576">
      <c r="C576" s="39"/>
      <c r="D576" s="39"/>
    </row>
    <row r="577">
      <c r="C577" s="39"/>
      <c r="D577" s="39"/>
    </row>
    <row r="578">
      <c r="C578" s="39"/>
      <c r="D578" s="39"/>
    </row>
    <row r="579">
      <c r="C579" s="39"/>
      <c r="D579" s="39"/>
    </row>
    <row r="580">
      <c r="C580" s="39"/>
      <c r="D580" s="39"/>
    </row>
    <row r="581">
      <c r="C581" s="39"/>
      <c r="D581" s="39"/>
    </row>
    <row r="582">
      <c r="C582" s="39"/>
      <c r="D582" s="39"/>
    </row>
    <row r="583">
      <c r="C583" s="39"/>
      <c r="D583" s="39"/>
    </row>
    <row r="584">
      <c r="C584" s="39"/>
      <c r="D584" s="39"/>
    </row>
    <row r="585">
      <c r="C585" s="39"/>
      <c r="D585" s="39"/>
    </row>
    <row r="586">
      <c r="C586" s="39"/>
      <c r="D586" s="39"/>
    </row>
    <row r="587">
      <c r="C587" s="39"/>
      <c r="D587" s="39"/>
    </row>
    <row r="588">
      <c r="C588" s="39"/>
      <c r="D588" s="39"/>
    </row>
    <row r="589">
      <c r="C589" s="39"/>
      <c r="D589" s="39"/>
    </row>
    <row r="590">
      <c r="C590" s="39"/>
      <c r="D590" s="39"/>
    </row>
    <row r="591">
      <c r="C591" s="39"/>
      <c r="D591" s="39"/>
    </row>
    <row r="592">
      <c r="C592" s="39"/>
      <c r="D592" s="39"/>
    </row>
    <row r="593">
      <c r="C593" s="39"/>
      <c r="D593" s="39"/>
    </row>
    <row r="594">
      <c r="C594" s="39"/>
      <c r="D594" s="39"/>
    </row>
    <row r="595">
      <c r="C595" s="39"/>
      <c r="D595" s="39"/>
    </row>
    <row r="596">
      <c r="C596" s="39"/>
      <c r="D596" s="39"/>
    </row>
    <row r="597">
      <c r="C597" s="39"/>
      <c r="D597" s="39"/>
    </row>
    <row r="598">
      <c r="C598" s="39"/>
      <c r="D598" s="39"/>
    </row>
    <row r="599">
      <c r="C599" s="39"/>
      <c r="D599" s="39"/>
    </row>
    <row r="600">
      <c r="C600" s="39"/>
      <c r="D600" s="39"/>
    </row>
    <row r="601">
      <c r="C601" s="39"/>
      <c r="D601" s="39"/>
    </row>
    <row r="602">
      <c r="C602" s="39"/>
      <c r="D602" s="39"/>
    </row>
    <row r="603">
      <c r="C603" s="39"/>
      <c r="D603" s="39"/>
    </row>
    <row r="604">
      <c r="C604" s="39"/>
      <c r="D604" s="39"/>
    </row>
    <row r="605">
      <c r="C605" s="39"/>
      <c r="D605" s="39"/>
    </row>
    <row r="606">
      <c r="C606" s="39"/>
      <c r="D606" s="39"/>
    </row>
    <row r="607">
      <c r="C607" s="39"/>
      <c r="D607" s="39"/>
    </row>
    <row r="608">
      <c r="C608" s="39"/>
      <c r="D608" s="39"/>
    </row>
    <row r="609">
      <c r="C609" s="39"/>
      <c r="D609" s="39"/>
    </row>
    <row r="610">
      <c r="C610" s="39"/>
      <c r="D610" s="39"/>
    </row>
    <row r="611">
      <c r="C611" s="39"/>
      <c r="D611" s="39"/>
    </row>
    <row r="612">
      <c r="C612" s="39"/>
      <c r="D612" s="39"/>
    </row>
    <row r="613">
      <c r="C613" s="39"/>
      <c r="D613" s="39"/>
    </row>
    <row r="614">
      <c r="C614" s="39"/>
      <c r="D614" s="39"/>
    </row>
    <row r="615">
      <c r="C615" s="39"/>
      <c r="D615" s="39"/>
    </row>
    <row r="616">
      <c r="C616" s="39"/>
      <c r="D616" s="39"/>
    </row>
    <row r="617">
      <c r="C617" s="39"/>
      <c r="D617" s="39"/>
    </row>
    <row r="618">
      <c r="C618" s="39"/>
      <c r="D618" s="39"/>
    </row>
    <row r="619">
      <c r="C619" s="39"/>
      <c r="D619" s="39"/>
    </row>
    <row r="620">
      <c r="C620" s="39"/>
      <c r="D620" s="39"/>
    </row>
    <row r="621">
      <c r="C621" s="39"/>
      <c r="D621" s="39"/>
    </row>
    <row r="622">
      <c r="C622" s="39"/>
      <c r="D622" s="39"/>
    </row>
    <row r="623">
      <c r="C623" s="39"/>
      <c r="D623" s="39"/>
    </row>
    <row r="624">
      <c r="C624" s="39"/>
      <c r="D624" s="39"/>
    </row>
    <row r="625">
      <c r="C625" s="39"/>
      <c r="D625" s="39"/>
    </row>
    <row r="626">
      <c r="C626" s="39"/>
      <c r="D626" s="39"/>
    </row>
    <row r="627">
      <c r="C627" s="39"/>
      <c r="D627" s="39"/>
    </row>
    <row r="628">
      <c r="C628" s="39"/>
      <c r="D628" s="39"/>
    </row>
    <row r="629">
      <c r="C629" s="39"/>
      <c r="D629" s="39"/>
    </row>
    <row r="630">
      <c r="C630" s="39"/>
      <c r="D630" s="39"/>
    </row>
    <row r="631">
      <c r="C631" s="39"/>
      <c r="D631" s="39"/>
    </row>
    <row r="632">
      <c r="C632" s="39"/>
      <c r="D632" s="39"/>
    </row>
    <row r="633">
      <c r="C633" s="39"/>
      <c r="D633" s="39"/>
    </row>
    <row r="634">
      <c r="C634" s="39"/>
      <c r="D634" s="39"/>
    </row>
    <row r="635">
      <c r="C635" s="39"/>
      <c r="D635" s="39"/>
    </row>
    <row r="636">
      <c r="C636" s="39"/>
      <c r="D636" s="39"/>
    </row>
    <row r="637">
      <c r="C637" s="39"/>
      <c r="D637" s="39"/>
    </row>
    <row r="638">
      <c r="C638" s="39"/>
      <c r="D638" s="39"/>
    </row>
    <row r="639">
      <c r="C639" s="39"/>
      <c r="D639" s="39"/>
    </row>
    <row r="640">
      <c r="C640" s="39"/>
      <c r="D640" s="39"/>
    </row>
    <row r="641">
      <c r="C641" s="39"/>
      <c r="D641" s="39"/>
    </row>
    <row r="642">
      <c r="C642" s="39"/>
      <c r="D642" s="39"/>
    </row>
    <row r="643">
      <c r="C643" s="39"/>
      <c r="D643" s="39"/>
    </row>
    <row r="644">
      <c r="C644" s="39"/>
      <c r="D644" s="39"/>
    </row>
    <row r="645">
      <c r="C645" s="39"/>
      <c r="D645" s="39"/>
    </row>
    <row r="646">
      <c r="C646" s="39"/>
      <c r="D646" s="39"/>
    </row>
    <row r="647">
      <c r="C647" s="39"/>
      <c r="D647" s="39"/>
    </row>
    <row r="648">
      <c r="C648" s="39"/>
      <c r="D648" s="39"/>
    </row>
    <row r="649">
      <c r="C649" s="39"/>
      <c r="D649" s="39"/>
    </row>
    <row r="650">
      <c r="C650" s="39"/>
      <c r="D650" s="39"/>
    </row>
    <row r="651">
      <c r="C651" s="39"/>
      <c r="D651" s="39"/>
    </row>
    <row r="652">
      <c r="C652" s="39"/>
      <c r="D652" s="39"/>
    </row>
    <row r="653">
      <c r="C653" s="39"/>
      <c r="D653" s="39"/>
    </row>
    <row r="654">
      <c r="C654" s="39"/>
      <c r="D654" s="39"/>
    </row>
    <row r="655">
      <c r="C655" s="39"/>
      <c r="D655" s="39"/>
    </row>
    <row r="656">
      <c r="C656" s="39"/>
      <c r="D656" s="39"/>
    </row>
    <row r="657">
      <c r="C657" s="39"/>
      <c r="D657" s="39"/>
    </row>
    <row r="658">
      <c r="C658" s="39"/>
      <c r="D658" s="39"/>
    </row>
    <row r="659">
      <c r="C659" s="39"/>
      <c r="D659" s="39"/>
    </row>
    <row r="660">
      <c r="C660" s="39"/>
      <c r="D660" s="39"/>
    </row>
    <row r="661">
      <c r="C661" s="39"/>
      <c r="D661" s="39"/>
    </row>
    <row r="662">
      <c r="C662" s="39"/>
      <c r="D662" s="39"/>
    </row>
    <row r="663">
      <c r="C663" s="39"/>
      <c r="D663" s="39"/>
    </row>
    <row r="664">
      <c r="C664" s="39"/>
      <c r="D664" s="39"/>
    </row>
    <row r="665">
      <c r="C665" s="39"/>
      <c r="D665" s="39"/>
    </row>
    <row r="666">
      <c r="C666" s="39"/>
      <c r="D666" s="39"/>
    </row>
    <row r="667">
      <c r="C667" s="39"/>
      <c r="D667" s="39"/>
    </row>
    <row r="668">
      <c r="C668" s="39"/>
      <c r="D668" s="39"/>
    </row>
    <row r="669">
      <c r="C669" s="39"/>
      <c r="D669" s="39"/>
    </row>
    <row r="670">
      <c r="C670" s="39"/>
      <c r="D670" s="39"/>
    </row>
    <row r="671">
      <c r="C671" s="39"/>
      <c r="D671" s="39"/>
    </row>
    <row r="672">
      <c r="C672" s="39"/>
      <c r="D672" s="39"/>
    </row>
    <row r="673">
      <c r="C673" s="39"/>
      <c r="D673" s="39"/>
    </row>
    <row r="674">
      <c r="C674" s="39"/>
      <c r="D674" s="39"/>
    </row>
    <row r="675">
      <c r="C675" s="39"/>
      <c r="D675" s="39"/>
    </row>
    <row r="676">
      <c r="C676" s="39"/>
      <c r="D676" s="39"/>
    </row>
    <row r="677">
      <c r="C677" s="39"/>
      <c r="D677" s="39"/>
    </row>
    <row r="678">
      <c r="C678" s="39"/>
      <c r="D678" s="39"/>
    </row>
    <row r="679">
      <c r="C679" s="39"/>
      <c r="D679" s="39"/>
    </row>
    <row r="680">
      <c r="C680" s="39"/>
      <c r="D680" s="39"/>
    </row>
    <row r="681">
      <c r="C681" s="39"/>
      <c r="D681" s="39"/>
    </row>
    <row r="682">
      <c r="C682" s="39"/>
      <c r="D682" s="39"/>
    </row>
    <row r="683">
      <c r="C683" s="39"/>
      <c r="D683" s="39"/>
    </row>
    <row r="684">
      <c r="C684" s="39"/>
      <c r="D684" s="39"/>
    </row>
    <row r="685">
      <c r="C685" s="39"/>
      <c r="D685" s="39"/>
    </row>
    <row r="686">
      <c r="C686" s="39"/>
      <c r="D686" s="39"/>
    </row>
    <row r="687">
      <c r="C687" s="39"/>
      <c r="D687" s="39"/>
    </row>
    <row r="688">
      <c r="C688" s="39"/>
      <c r="D688" s="39"/>
    </row>
    <row r="689">
      <c r="C689" s="39"/>
      <c r="D689" s="39"/>
    </row>
    <row r="690">
      <c r="C690" s="39"/>
      <c r="D690" s="39"/>
    </row>
    <row r="691">
      <c r="C691" s="39"/>
      <c r="D691" s="39"/>
    </row>
    <row r="692">
      <c r="C692" s="39"/>
      <c r="D692" s="39"/>
    </row>
    <row r="693">
      <c r="C693" s="39"/>
      <c r="D693" s="39"/>
    </row>
    <row r="694">
      <c r="C694" s="39"/>
      <c r="D694" s="39"/>
    </row>
    <row r="695">
      <c r="C695" s="39"/>
      <c r="D695" s="39"/>
    </row>
    <row r="696">
      <c r="C696" s="39"/>
      <c r="D696" s="39"/>
    </row>
    <row r="697">
      <c r="C697" s="39"/>
      <c r="D697" s="39"/>
    </row>
    <row r="698">
      <c r="C698" s="39"/>
      <c r="D698" s="39"/>
    </row>
    <row r="699">
      <c r="C699" s="39"/>
      <c r="D699" s="39"/>
    </row>
    <row r="700">
      <c r="C700" s="39"/>
      <c r="D700" s="39"/>
    </row>
    <row r="701">
      <c r="C701" s="39"/>
      <c r="D701" s="39"/>
    </row>
    <row r="702">
      <c r="C702" s="39"/>
      <c r="D702" s="39"/>
    </row>
    <row r="703">
      <c r="C703" s="39"/>
      <c r="D703" s="39"/>
    </row>
    <row r="704">
      <c r="C704" s="39"/>
      <c r="D704" s="39"/>
    </row>
    <row r="705">
      <c r="C705" s="39"/>
      <c r="D705" s="39"/>
    </row>
    <row r="706">
      <c r="C706" s="39"/>
      <c r="D706" s="39"/>
    </row>
    <row r="707">
      <c r="C707" s="39"/>
      <c r="D707" s="39"/>
    </row>
    <row r="708">
      <c r="C708" s="39"/>
      <c r="D708" s="39"/>
    </row>
    <row r="709">
      <c r="C709" s="39"/>
      <c r="D709" s="39"/>
    </row>
    <row r="710">
      <c r="C710" s="39"/>
      <c r="D710" s="39"/>
    </row>
    <row r="711">
      <c r="C711" s="39"/>
      <c r="D711" s="39"/>
    </row>
    <row r="712">
      <c r="C712" s="39"/>
      <c r="D712" s="39"/>
    </row>
    <row r="713">
      <c r="C713" s="39"/>
      <c r="D713" s="39"/>
    </row>
    <row r="714">
      <c r="C714" s="39"/>
      <c r="D714" s="39"/>
    </row>
    <row r="715">
      <c r="C715" s="39"/>
      <c r="D715" s="39"/>
    </row>
    <row r="716">
      <c r="C716" s="39"/>
      <c r="D716" s="39"/>
    </row>
    <row r="717">
      <c r="C717" s="39"/>
      <c r="D717" s="39"/>
    </row>
    <row r="718">
      <c r="C718" s="39"/>
      <c r="D718" s="39"/>
    </row>
    <row r="719">
      <c r="C719" s="39"/>
      <c r="D719" s="39"/>
    </row>
    <row r="720">
      <c r="C720" s="39"/>
      <c r="D720" s="39"/>
    </row>
    <row r="721">
      <c r="C721" s="39"/>
      <c r="D721" s="39"/>
    </row>
    <row r="722">
      <c r="C722" s="39"/>
      <c r="D722" s="39"/>
    </row>
    <row r="723">
      <c r="C723" s="39"/>
      <c r="D723" s="39"/>
    </row>
    <row r="724">
      <c r="C724" s="39"/>
      <c r="D724" s="39"/>
    </row>
    <row r="725">
      <c r="C725" s="39"/>
      <c r="D725" s="39"/>
    </row>
    <row r="726">
      <c r="C726" s="39"/>
      <c r="D726" s="39"/>
    </row>
    <row r="727">
      <c r="C727" s="39"/>
      <c r="D727" s="39"/>
    </row>
    <row r="728">
      <c r="C728" s="39"/>
      <c r="D728" s="39"/>
    </row>
    <row r="729">
      <c r="C729" s="39"/>
      <c r="D729" s="39"/>
    </row>
    <row r="730">
      <c r="C730" s="39"/>
      <c r="D730" s="39"/>
    </row>
    <row r="731">
      <c r="C731" s="39"/>
      <c r="D731" s="39"/>
    </row>
    <row r="732">
      <c r="C732" s="39"/>
      <c r="D732" s="39"/>
    </row>
    <row r="733">
      <c r="C733" s="39"/>
      <c r="D733" s="39"/>
    </row>
    <row r="734">
      <c r="C734" s="39"/>
      <c r="D734" s="39"/>
    </row>
    <row r="735">
      <c r="C735" s="39"/>
      <c r="D735" s="39"/>
    </row>
    <row r="736">
      <c r="C736" s="39"/>
      <c r="D736" s="39"/>
    </row>
    <row r="737">
      <c r="C737" s="39"/>
      <c r="D737" s="39"/>
    </row>
    <row r="738">
      <c r="C738" s="39"/>
      <c r="D738" s="39"/>
    </row>
    <row r="739">
      <c r="C739" s="39"/>
      <c r="D739" s="39"/>
    </row>
    <row r="740">
      <c r="C740" s="39"/>
      <c r="D740" s="39"/>
    </row>
    <row r="741">
      <c r="C741" s="39"/>
      <c r="D741" s="39"/>
    </row>
    <row r="742">
      <c r="C742" s="39"/>
      <c r="D742" s="39"/>
    </row>
    <row r="743">
      <c r="C743" s="39"/>
      <c r="D743" s="39"/>
    </row>
    <row r="744">
      <c r="C744" s="39"/>
      <c r="D744" s="39"/>
    </row>
    <row r="745">
      <c r="C745" s="39"/>
      <c r="D745" s="39"/>
    </row>
    <row r="746">
      <c r="C746" s="39"/>
      <c r="D746" s="39"/>
    </row>
    <row r="747">
      <c r="C747" s="39"/>
      <c r="D747" s="39"/>
    </row>
    <row r="748">
      <c r="C748" s="39"/>
      <c r="D748" s="39"/>
    </row>
    <row r="749">
      <c r="C749" s="39"/>
      <c r="D749" s="39"/>
    </row>
    <row r="750">
      <c r="C750" s="39"/>
      <c r="D750" s="39"/>
    </row>
    <row r="751">
      <c r="C751" s="39"/>
      <c r="D751" s="39"/>
    </row>
    <row r="752">
      <c r="C752" s="39"/>
      <c r="D752" s="39"/>
    </row>
    <row r="753">
      <c r="C753" s="39"/>
      <c r="D753" s="39"/>
    </row>
    <row r="754">
      <c r="C754" s="39"/>
      <c r="D754" s="39"/>
    </row>
    <row r="755">
      <c r="C755" s="39"/>
      <c r="D755" s="39"/>
    </row>
    <row r="756">
      <c r="C756" s="39"/>
      <c r="D756" s="39"/>
    </row>
    <row r="757">
      <c r="C757" s="39"/>
      <c r="D757" s="39"/>
    </row>
    <row r="758">
      <c r="C758" s="39"/>
      <c r="D758" s="39"/>
    </row>
    <row r="759">
      <c r="C759" s="39"/>
      <c r="D759" s="39"/>
    </row>
    <row r="760">
      <c r="C760" s="39"/>
      <c r="D760" s="39"/>
    </row>
    <row r="761">
      <c r="C761" s="39"/>
      <c r="D761" s="39"/>
    </row>
    <row r="762">
      <c r="C762" s="39"/>
      <c r="D762" s="39"/>
    </row>
    <row r="763">
      <c r="C763" s="39"/>
      <c r="D763" s="39"/>
    </row>
    <row r="764">
      <c r="C764" s="39"/>
      <c r="D764" s="39"/>
    </row>
    <row r="765">
      <c r="C765" s="39"/>
      <c r="D765" s="39"/>
    </row>
    <row r="766">
      <c r="C766" s="39"/>
      <c r="D766" s="39"/>
    </row>
    <row r="767">
      <c r="C767" s="39"/>
      <c r="D767" s="39"/>
    </row>
    <row r="768">
      <c r="C768" s="39"/>
      <c r="D768" s="39"/>
    </row>
    <row r="769">
      <c r="C769" s="39"/>
      <c r="D769" s="39"/>
    </row>
    <row r="770">
      <c r="C770" s="39"/>
      <c r="D770" s="39"/>
    </row>
    <row r="771">
      <c r="C771" s="39"/>
      <c r="D771" s="39"/>
    </row>
    <row r="772">
      <c r="C772" s="39"/>
      <c r="D772" s="39"/>
    </row>
    <row r="773">
      <c r="C773" s="39"/>
      <c r="D773" s="39"/>
    </row>
    <row r="774">
      <c r="C774" s="39"/>
      <c r="D774" s="39"/>
    </row>
    <row r="775">
      <c r="C775" s="39"/>
      <c r="D775" s="39"/>
    </row>
    <row r="776">
      <c r="C776" s="39"/>
      <c r="D776" s="39"/>
    </row>
    <row r="777">
      <c r="C777" s="39"/>
      <c r="D777" s="39"/>
    </row>
    <row r="778">
      <c r="C778" s="39"/>
      <c r="D778" s="39"/>
    </row>
    <row r="779">
      <c r="C779" s="39"/>
      <c r="D779" s="39"/>
    </row>
    <row r="780">
      <c r="C780" s="39"/>
      <c r="D780" s="39"/>
    </row>
    <row r="781">
      <c r="C781" s="39"/>
      <c r="D781" s="39"/>
    </row>
    <row r="782">
      <c r="C782" s="39"/>
      <c r="D782" s="39"/>
    </row>
    <row r="783">
      <c r="C783" s="39"/>
      <c r="D783" s="39"/>
    </row>
    <row r="784">
      <c r="C784" s="39"/>
      <c r="D784" s="39"/>
    </row>
    <row r="785">
      <c r="C785" s="39"/>
      <c r="D785" s="39"/>
    </row>
    <row r="786">
      <c r="C786" s="39"/>
      <c r="D786" s="39"/>
    </row>
    <row r="787">
      <c r="C787" s="39"/>
      <c r="D787" s="39"/>
    </row>
    <row r="788">
      <c r="C788" s="39"/>
      <c r="D788" s="39"/>
    </row>
    <row r="789">
      <c r="C789" s="39"/>
      <c r="D789" s="39"/>
    </row>
    <row r="790">
      <c r="C790" s="39"/>
      <c r="D790" s="39"/>
    </row>
    <row r="791">
      <c r="C791" s="39"/>
      <c r="D791" s="39"/>
    </row>
    <row r="792">
      <c r="C792" s="39"/>
      <c r="D792" s="39"/>
    </row>
    <row r="793">
      <c r="C793" s="39"/>
      <c r="D793" s="39"/>
    </row>
    <row r="794">
      <c r="C794" s="39"/>
      <c r="D794" s="39"/>
    </row>
    <row r="795">
      <c r="C795" s="39"/>
      <c r="D795" s="39"/>
    </row>
    <row r="796">
      <c r="C796" s="39"/>
      <c r="D796" s="39"/>
    </row>
    <row r="797">
      <c r="C797" s="39"/>
      <c r="D797" s="39"/>
    </row>
    <row r="798">
      <c r="C798" s="39"/>
      <c r="D798" s="39"/>
    </row>
    <row r="799">
      <c r="C799" s="39"/>
      <c r="D799" s="39"/>
    </row>
    <row r="800">
      <c r="C800" s="39"/>
      <c r="D800" s="39"/>
    </row>
    <row r="801">
      <c r="C801" s="39"/>
      <c r="D801" s="39"/>
    </row>
    <row r="802">
      <c r="C802" s="39"/>
      <c r="D802" s="39"/>
    </row>
    <row r="803">
      <c r="C803" s="39"/>
      <c r="D803" s="39"/>
    </row>
    <row r="804">
      <c r="C804" s="39"/>
      <c r="D804" s="39"/>
    </row>
    <row r="805">
      <c r="C805" s="39"/>
      <c r="D805" s="39"/>
    </row>
    <row r="806">
      <c r="C806" s="39"/>
      <c r="D806" s="39"/>
    </row>
    <row r="807">
      <c r="C807" s="39"/>
      <c r="D807" s="39"/>
    </row>
    <row r="808">
      <c r="C808" s="39"/>
      <c r="D808" s="39"/>
    </row>
    <row r="809">
      <c r="C809" s="39"/>
      <c r="D809" s="39"/>
    </row>
    <row r="810">
      <c r="C810" s="39"/>
      <c r="D810" s="39"/>
    </row>
    <row r="811">
      <c r="C811" s="39"/>
      <c r="D811" s="39"/>
    </row>
    <row r="812">
      <c r="C812" s="39"/>
      <c r="D812" s="39"/>
    </row>
    <row r="813">
      <c r="C813" s="39"/>
      <c r="D813" s="39"/>
    </row>
    <row r="814">
      <c r="C814" s="39"/>
      <c r="D814" s="39"/>
    </row>
    <row r="815">
      <c r="C815" s="39"/>
      <c r="D815" s="39"/>
    </row>
    <row r="816">
      <c r="C816" s="39"/>
      <c r="D816" s="39"/>
    </row>
    <row r="817">
      <c r="C817" s="39"/>
      <c r="D817" s="39"/>
    </row>
    <row r="818">
      <c r="C818" s="39"/>
      <c r="D818" s="39"/>
    </row>
    <row r="819">
      <c r="C819" s="39"/>
      <c r="D819" s="39"/>
    </row>
    <row r="820">
      <c r="C820" s="39"/>
      <c r="D820" s="39"/>
    </row>
    <row r="821">
      <c r="C821" s="39"/>
      <c r="D821" s="39"/>
    </row>
    <row r="822">
      <c r="C822" s="39"/>
      <c r="D822" s="39"/>
    </row>
    <row r="823">
      <c r="C823" s="39"/>
      <c r="D823" s="39"/>
    </row>
    <row r="824">
      <c r="C824" s="39"/>
      <c r="D824" s="39"/>
    </row>
    <row r="825">
      <c r="C825" s="39"/>
      <c r="D825" s="39"/>
    </row>
    <row r="826">
      <c r="C826" s="39"/>
      <c r="D826" s="39"/>
    </row>
    <row r="827">
      <c r="C827" s="39"/>
      <c r="D827" s="39"/>
    </row>
    <row r="828">
      <c r="C828" s="39"/>
      <c r="D828" s="39"/>
    </row>
    <row r="829">
      <c r="C829" s="39"/>
      <c r="D829" s="39"/>
    </row>
    <row r="830">
      <c r="C830" s="39"/>
      <c r="D830" s="39"/>
    </row>
    <row r="831">
      <c r="C831" s="39"/>
      <c r="D831" s="39"/>
    </row>
    <row r="832">
      <c r="C832" s="39"/>
      <c r="D832" s="39"/>
    </row>
    <row r="833">
      <c r="C833" s="39"/>
      <c r="D833" s="39"/>
    </row>
    <row r="834">
      <c r="C834" s="39"/>
      <c r="D834" s="39"/>
    </row>
    <row r="835">
      <c r="C835" s="39"/>
      <c r="D835" s="39"/>
    </row>
    <row r="836">
      <c r="C836" s="39"/>
      <c r="D836" s="39"/>
    </row>
    <row r="837">
      <c r="C837" s="39"/>
      <c r="D837" s="39"/>
    </row>
    <row r="838">
      <c r="C838" s="39"/>
      <c r="D838" s="39"/>
    </row>
    <row r="839">
      <c r="C839" s="39"/>
      <c r="D839" s="39"/>
    </row>
    <row r="840">
      <c r="C840" s="39"/>
      <c r="D840" s="39"/>
    </row>
    <row r="841">
      <c r="C841" s="39"/>
      <c r="D841" s="39"/>
    </row>
    <row r="842">
      <c r="C842" s="39"/>
      <c r="D842" s="39"/>
    </row>
    <row r="843">
      <c r="C843" s="39"/>
      <c r="D843" s="39"/>
    </row>
    <row r="844">
      <c r="C844" s="39"/>
      <c r="D844" s="39"/>
    </row>
    <row r="845">
      <c r="C845" s="39"/>
      <c r="D845" s="39"/>
    </row>
    <row r="846">
      <c r="C846" s="39"/>
      <c r="D846" s="39"/>
    </row>
    <row r="847">
      <c r="C847" s="39"/>
      <c r="D847" s="39"/>
    </row>
    <row r="848">
      <c r="C848" s="39"/>
      <c r="D848" s="39"/>
    </row>
    <row r="849">
      <c r="C849" s="39"/>
      <c r="D849" s="39"/>
    </row>
    <row r="850">
      <c r="C850" s="39"/>
      <c r="D850" s="39"/>
    </row>
    <row r="851">
      <c r="C851" s="39"/>
      <c r="D851" s="39"/>
    </row>
    <row r="852">
      <c r="C852" s="39"/>
      <c r="D852" s="39"/>
    </row>
    <row r="853">
      <c r="C853" s="39"/>
      <c r="D853" s="39"/>
    </row>
    <row r="854">
      <c r="C854" s="39"/>
      <c r="D854" s="39"/>
    </row>
    <row r="855">
      <c r="C855" s="39"/>
      <c r="D855" s="39"/>
    </row>
    <row r="856">
      <c r="C856" s="39"/>
      <c r="D856" s="39"/>
    </row>
    <row r="857">
      <c r="C857" s="39"/>
      <c r="D857" s="39"/>
    </row>
    <row r="858">
      <c r="C858" s="39"/>
      <c r="D858" s="39"/>
    </row>
    <row r="859">
      <c r="C859" s="39"/>
      <c r="D859" s="39"/>
    </row>
    <row r="860">
      <c r="C860" s="39"/>
      <c r="D860" s="39"/>
    </row>
    <row r="861">
      <c r="C861" s="39"/>
      <c r="D861" s="39"/>
    </row>
    <row r="862">
      <c r="C862" s="39"/>
      <c r="D862" s="39"/>
    </row>
    <row r="863">
      <c r="C863" s="39"/>
      <c r="D863" s="39"/>
    </row>
    <row r="864">
      <c r="C864" s="39"/>
      <c r="D864" s="39"/>
    </row>
    <row r="865">
      <c r="C865" s="39"/>
      <c r="D865" s="39"/>
    </row>
    <row r="866">
      <c r="C866" s="39"/>
      <c r="D866" s="39"/>
    </row>
    <row r="867">
      <c r="C867" s="39"/>
      <c r="D867" s="39"/>
    </row>
    <row r="868">
      <c r="C868" s="39"/>
      <c r="D868" s="39"/>
    </row>
    <row r="869">
      <c r="C869" s="39"/>
      <c r="D869" s="39"/>
    </row>
    <row r="870">
      <c r="C870" s="39"/>
      <c r="D870" s="39"/>
    </row>
    <row r="871">
      <c r="C871" s="39"/>
      <c r="D871" s="39"/>
    </row>
    <row r="872">
      <c r="C872" s="39"/>
      <c r="D872" s="39"/>
    </row>
    <row r="873">
      <c r="C873" s="39"/>
      <c r="D873" s="39"/>
    </row>
    <row r="874">
      <c r="C874" s="39"/>
      <c r="D874" s="39"/>
    </row>
    <row r="875">
      <c r="C875" s="39"/>
      <c r="D875" s="39"/>
    </row>
    <row r="876">
      <c r="C876" s="39"/>
      <c r="D876" s="39"/>
    </row>
    <row r="877">
      <c r="C877" s="39"/>
      <c r="D877" s="39"/>
    </row>
    <row r="878">
      <c r="C878" s="39"/>
      <c r="D878" s="39"/>
    </row>
    <row r="879">
      <c r="C879" s="39"/>
      <c r="D879" s="39"/>
    </row>
    <row r="880">
      <c r="C880" s="39"/>
      <c r="D880" s="39"/>
    </row>
    <row r="881">
      <c r="C881" s="39"/>
      <c r="D881" s="39"/>
    </row>
    <row r="882">
      <c r="C882" s="39"/>
      <c r="D882" s="39"/>
    </row>
    <row r="883">
      <c r="C883" s="39"/>
      <c r="D883" s="39"/>
    </row>
    <row r="884">
      <c r="C884" s="39"/>
      <c r="D884" s="39"/>
    </row>
    <row r="885">
      <c r="C885" s="39"/>
      <c r="D885" s="39"/>
    </row>
    <row r="886">
      <c r="C886" s="39"/>
      <c r="D886" s="39"/>
    </row>
    <row r="887">
      <c r="C887" s="39"/>
      <c r="D887" s="39"/>
    </row>
    <row r="888">
      <c r="C888" s="39"/>
      <c r="D888" s="39"/>
    </row>
    <row r="889">
      <c r="C889" s="39"/>
      <c r="D889" s="39"/>
    </row>
    <row r="890">
      <c r="C890" s="39"/>
      <c r="D890" s="39"/>
    </row>
    <row r="891">
      <c r="C891" s="39"/>
      <c r="D891" s="39"/>
    </row>
    <row r="892">
      <c r="C892" s="39"/>
      <c r="D892" s="39"/>
    </row>
    <row r="893">
      <c r="C893" s="39"/>
      <c r="D893" s="39"/>
    </row>
    <row r="894">
      <c r="C894" s="39"/>
      <c r="D894" s="39"/>
    </row>
    <row r="895">
      <c r="C895" s="39"/>
      <c r="D895" s="39"/>
    </row>
    <row r="896">
      <c r="C896" s="39"/>
      <c r="D896" s="39"/>
    </row>
    <row r="897">
      <c r="C897" s="39"/>
      <c r="D897" s="39"/>
    </row>
    <row r="898">
      <c r="C898" s="39"/>
      <c r="D898" s="39"/>
    </row>
    <row r="899">
      <c r="C899" s="39"/>
      <c r="D899" s="39"/>
    </row>
    <row r="900">
      <c r="C900" s="39"/>
      <c r="D900" s="39"/>
    </row>
    <row r="901">
      <c r="C901" s="39"/>
      <c r="D901" s="39"/>
    </row>
    <row r="902">
      <c r="C902" s="39"/>
      <c r="D902" s="39"/>
    </row>
    <row r="903">
      <c r="C903" s="39"/>
      <c r="D903" s="39"/>
    </row>
    <row r="904">
      <c r="C904" s="39"/>
      <c r="D904" s="39"/>
    </row>
    <row r="905">
      <c r="C905" s="39"/>
      <c r="D905" s="39"/>
    </row>
    <row r="906">
      <c r="C906" s="39"/>
      <c r="D906" s="39"/>
    </row>
    <row r="907">
      <c r="C907" s="39"/>
      <c r="D907" s="39"/>
    </row>
    <row r="908">
      <c r="C908" s="39"/>
      <c r="D908" s="39"/>
    </row>
    <row r="909">
      <c r="C909" s="39"/>
      <c r="D909" s="39"/>
    </row>
    <row r="910">
      <c r="C910" s="39"/>
      <c r="D910" s="39"/>
    </row>
    <row r="911">
      <c r="C911" s="39"/>
      <c r="D911" s="39"/>
    </row>
    <row r="912">
      <c r="C912" s="39"/>
      <c r="D912" s="39"/>
    </row>
    <row r="913">
      <c r="C913" s="39"/>
      <c r="D913" s="39"/>
    </row>
    <row r="914">
      <c r="C914" s="39"/>
      <c r="D914" s="39"/>
    </row>
    <row r="915">
      <c r="C915" s="39"/>
      <c r="D915" s="39"/>
    </row>
    <row r="916">
      <c r="C916" s="39"/>
      <c r="D916" s="39"/>
    </row>
    <row r="917">
      <c r="C917" s="39"/>
      <c r="D917" s="39"/>
    </row>
    <row r="918">
      <c r="C918" s="39"/>
      <c r="D918" s="39"/>
    </row>
    <row r="919">
      <c r="C919" s="39"/>
      <c r="D919" s="39"/>
    </row>
    <row r="920">
      <c r="C920" s="39"/>
      <c r="D920" s="39"/>
    </row>
    <row r="921">
      <c r="C921" s="39"/>
      <c r="D921" s="39"/>
    </row>
    <row r="922">
      <c r="C922" s="39"/>
      <c r="D922" s="39"/>
    </row>
    <row r="923">
      <c r="C923" s="39"/>
      <c r="D923" s="39"/>
    </row>
    <row r="924">
      <c r="C924" s="39"/>
      <c r="D924" s="39"/>
    </row>
    <row r="925">
      <c r="C925" s="39"/>
      <c r="D925" s="39"/>
    </row>
    <row r="926">
      <c r="C926" s="39"/>
      <c r="D926" s="39"/>
    </row>
    <row r="927">
      <c r="C927" s="39"/>
      <c r="D927" s="39"/>
    </row>
    <row r="928">
      <c r="C928" s="39"/>
      <c r="D928" s="39"/>
    </row>
    <row r="929">
      <c r="C929" s="39"/>
      <c r="D929" s="39"/>
    </row>
    <row r="930">
      <c r="C930" s="39"/>
      <c r="D930" s="39"/>
    </row>
    <row r="931">
      <c r="C931" s="39"/>
      <c r="D931" s="39"/>
    </row>
    <row r="932">
      <c r="C932" s="39"/>
      <c r="D932" s="39"/>
    </row>
    <row r="933">
      <c r="C933" s="39"/>
      <c r="D933" s="39"/>
    </row>
    <row r="934">
      <c r="C934" s="39"/>
      <c r="D934" s="39"/>
    </row>
    <row r="935">
      <c r="C935" s="39"/>
      <c r="D935" s="39"/>
    </row>
    <row r="936">
      <c r="C936" s="39"/>
      <c r="D936" s="39"/>
    </row>
    <row r="937">
      <c r="C937" s="39"/>
      <c r="D937" s="39"/>
    </row>
    <row r="938">
      <c r="C938" s="39"/>
      <c r="D938" s="39"/>
    </row>
    <row r="939">
      <c r="C939" s="39"/>
      <c r="D939" s="39"/>
    </row>
    <row r="940">
      <c r="C940" s="39"/>
      <c r="D940" s="39"/>
    </row>
    <row r="941">
      <c r="C941" s="39"/>
      <c r="D941" s="39"/>
    </row>
    <row r="942">
      <c r="C942" s="39"/>
      <c r="D942" s="39"/>
    </row>
    <row r="943">
      <c r="C943" s="39"/>
      <c r="D943" s="39"/>
    </row>
    <row r="944">
      <c r="C944" s="39"/>
      <c r="D944" s="39"/>
    </row>
    <row r="945">
      <c r="C945" s="39"/>
      <c r="D945" s="39"/>
    </row>
    <row r="946">
      <c r="C946" s="39"/>
      <c r="D946" s="39"/>
    </row>
    <row r="947">
      <c r="C947" s="39"/>
      <c r="D947" s="39"/>
    </row>
    <row r="948">
      <c r="C948" s="39"/>
      <c r="D948" s="39"/>
    </row>
    <row r="949">
      <c r="C949" s="39"/>
      <c r="D949" s="39"/>
    </row>
    <row r="950">
      <c r="C950" s="39"/>
      <c r="D950" s="39"/>
    </row>
    <row r="951">
      <c r="C951" s="39"/>
      <c r="D951" s="39"/>
    </row>
    <row r="952">
      <c r="C952" s="39"/>
      <c r="D952" s="39"/>
    </row>
    <row r="953">
      <c r="C953" s="39"/>
      <c r="D953" s="39"/>
    </row>
    <row r="954">
      <c r="C954" s="39"/>
      <c r="D954" s="39"/>
    </row>
    <row r="955">
      <c r="C955" s="39"/>
      <c r="D955" s="39"/>
    </row>
    <row r="956">
      <c r="C956" s="39"/>
      <c r="D956" s="39"/>
    </row>
    <row r="957">
      <c r="C957" s="39"/>
      <c r="D957" s="39"/>
    </row>
    <row r="958">
      <c r="C958" s="39"/>
      <c r="D958" s="39"/>
    </row>
    <row r="959">
      <c r="C959" s="39"/>
      <c r="D959" s="39"/>
    </row>
    <row r="960">
      <c r="C960" s="39"/>
      <c r="D960" s="39"/>
    </row>
    <row r="961">
      <c r="C961" s="39"/>
      <c r="D961" s="39"/>
    </row>
    <row r="962">
      <c r="C962" s="39"/>
      <c r="D962" s="39"/>
    </row>
    <row r="963">
      <c r="C963" s="39"/>
      <c r="D963" s="39"/>
    </row>
    <row r="964">
      <c r="C964" s="39"/>
      <c r="D964" s="39"/>
    </row>
    <row r="965">
      <c r="C965" s="39"/>
      <c r="D965" s="39"/>
    </row>
    <row r="966">
      <c r="C966" s="39"/>
      <c r="D966" s="39"/>
    </row>
    <row r="967">
      <c r="C967" s="39"/>
      <c r="D967" s="39"/>
    </row>
    <row r="968">
      <c r="C968" s="39"/>
      <c r="D968" s="39"/>
    </row>
    <row r="969">
      <c r="C969" s="39"/>
      <c r="D969" s="39"/>
    </row>
    <row r="970">
      <c r="C970" s="39"/>
      <c r="D970" s="39"/>
    </row>
    <row r="971">
      <c r="C971" s="39"/>
      <c r="D971" s="39"/>
    </row>
    <row r="972">
      <c r="C972" s="39"/>
      <c r="D972" s="39"/>
    </row>
    <row r="973">
      <c r="C973" s="39"/>
      <c r="D973" s="39"/>
    </row>
    <row r="974">
      <c r="C974" s="39"/>
      <c r="D974" s="39"/>
    </row>
    <row r="975">
      <c r="C975" s="39"/>
      <c r="D975" s="39"/>
    </row>
    <row r="976">
      <c r="C976" s="39"/>
      <c r="D976" s="39"/>
    </row>
    <row r="977">
      <c r="C977" s="39"/>
      <c r="D977" s="39"/>
    </row>
    <row r="978">
      <c r="C978" s="39"/>
      <c r="D978" s="39"/>
    </row>
    <row r="979">
      <c r="C979" s="39"/>
      <c r="D979" s="39"/>
    </row>
    <row r="980">
      <c r="C980" s="39"/>
      <c r="D980" s="39"/>
    </row>
    <row r="981">
      <c r="C981" s="39"/>
      <c r="D981" s="39"/>
    </row>
    <row r="982">
      <c r="C982" s="39"/>
      <c r="D982" s="39"/>
    </row>
    <row r="983">
      <c r="C983" s="39"/>
      <c r="D983" s="39"/>
    </row>
    <row r="984">
      <c r="C984" s="39"/>
      <c r="D984" s="39"/>
    </row>
    <row r="985">
      <c r="C985" s="39"/>
      <c r="D985" s="39"/>
    </row>
    <row r="986">
      <c r="C986" s="39"/>
      <c r="D986" s="39"/>
    </row>
    <row r="987">
      <c r="C987" s="39"/>
      <c r="D987" s="39"/>
    </row>
    <row r="988">
      <c r="C988" s="39"/>
      <c r="D988" s="39"/>
    </row>
    <row r="989">
      <c r="C989" s="39"/>
      <c r="D989" s="39"/>
    </row>
    <row r="990">
      <c r="C990" s="39"/>
      <c r="D990" s="39"/>
    </row>
    <row r="991">
      <c r="C991" s="39"/>
      <c r="D991" s="39"/>
    </row>
    <row r="992">
      <c r="C992" s="39"/>
      <c r="D992" s="39"/>
    </row>
    <row r="993">
      <c r="C993" s="39"/>
      <c r="D993" s="39"/>
    </row>
    <row r="994">
      <c r="C994" s="39"/>
      <c r="D994" s="39"/>
    </row>
    <row r="995">
      <c r="C995" s="39"/>
      <c r="D995" s="39"/>
    </row>
    <row r="996">
      <c r="C996" s="39"/>
      <c r="D996" s="39"/>
    </row>
    <row r="997">
      <c r="C997" s="39"/>
      <c r="D997" s="39"/>
    </row>
    <row r="998">
      <c r="C998" s="39"/>
      <c r="D998" s="39"/>
    </row>
    <row r="999">
      <c r="C999" s="39"/>
      <c r="D999" s="39"/>
    </row>
    <row r="1000">
      <c r="C1000" s="39"/>
      <c r="D1000" s="39"/>
    </row>
    <row r="1001">
      <c r="C1001" s="39"/>
      <c r="D1001" s="39"/>
    </row>
    <row r="1002">
      <c r="C1002" s="39"/>
      <c r="D1002" s="39"/>
    </row>
    <row r="1003">
      <c r="C1003" s="39"/>
      <c r="D1003" s="39"/>
    </row>
    <row r="1004">
      <c r="C1004" s="39"/>
      <c r="D1004" s="39"/>
    </row>
    <row r="1005">
      <c r="C1005" s="39"/>
      <c r="D1005" s="39"/>
    </row>
    <row r="1006">
      <c r="C1006" s="39"/>
      <c r="D1006" s="39"/>
    </row>
    <row r="1007">
      <c r="C1007" s="39"/>
      <c r="D1007" s="39"/>
    </row>
    <row r="1008">
      <c r="C1008" s="39"/>
      <c r="D1008" s="39"/>
    </row>
    <row r="1009">
      <c r="C1009" s="39"/>
      <c r="D1009" s="39"/>
    </row>
    <row r="1010">
      <c r="C1010" s="39"/>
      <c r="D1010" s="39"/>
    </row>
    <row r="1011">
      <c r="C1011" s="39"/>
      <c r="D1011" s="39"/>
    </row>
    <row r="1012">
      <c r="C1012" s="39"/>
      <c r="D1012" s="39"/>
    </row>
    <row r="1013">
      <c r="C1013" s="39"/>
      <c r="D1013" s="39"/>
    </row>
    <row r="1014">
      <c r="C1014" s="39"/>
      <c r="D1014" s="39"/>
    </row>
    <row r="1015">
      <c r="C1015" s="39"/>
      <c r="D1015" s="39"/>
    </row>
    <row r="1016">
      <c r="C1016" s="39"/>
      <c r="D1016" s="39"/>
    </row>
    <row r="1017">
      <c r="C1017" s="39"/>
      <c r="D1017" s="39"/>
    </row>
    <row r="1018">
      <c r="C1018" s="39"/>
      <c r="D1018" s="39"/>
    </row>
    <row r="1019">
      <c r="C1019" s="39"/>
      <c r="D1019" s="39"/>
    </row>
    <row r="1020">
      <c r="C1020" s="39"/>
      <c r="D1020" s="39"/>
    </row>
    <row r="1021">
      <c r="C1021" s="39"/>
      <c r="D1021" s="39"/>
    </row>
    <row r="1022">
      <c r="C1022" s="39"/>
      <c r="D1022" s="39"/>
    </row>
    <row r="1023">
      <c r="C1023" s="39"/>
      <c r="D1023" s="39"/>
    </row>
    <row r="1024">
      <c r="C1024" s="39"/>
      <c r="D1024" s="39"/>
    </row>
    <row r="1025">
      <c r="C1025" s="39"/>
      <c r="D1025" s="39"/>
    </row>
    <row r="1026">
      <c r="C1026" s="39"/>
      <c r="D1026" s="39"/>
    </row>
    <row r="1027">
      <c r="C1027" s="39"/>
      <c r="D1027" s="39"/>
    </row>
    <row r="1028">
      <c r="C1028" s="39"/>
      <c r="D1028" s="39"/>
    </row>
    <row r="1029">
      <c r="C1029" s="39"/>
      <c r="D1029" s="39"/>
    </row>
    <row r="1030">
      <c r="C1030" s="39"/>
      <c r="D1030" s="39"/>
    </row>
    <row r="1031">
      <c r="C1031" s="39"/>
      <c r="D1031" s="39"/>
    </row>
    <row r="1032">
      <c r="C1032" s="39"/>
      <c r="D1032" s="39"/>
    </row>
    <row r="1033">
      <c r="C1033" s="39"/>
      <c r="D1033" s="39"/>
    </row>
    <row r="1034">
      <c r="C1034" s="39"/>
      <c r="D1034" s="39"/>
    </row>
    <row r="1035">
      <c r="C1035" s="39"/>
      <c r="D1035" s="39"/>
    </row>
    <row r="1036">
      <c r="C1036" s="39"/>
      <c r="D1036" s="39"/>
    </row>
    <row r="1037">
      <c r="C1037" s="39"/>
      <c r="D1037" s="39"/>
    </row>
    <row r="1038">
      <c r="C1038" s="39"/>
      <c r="D1038" s="39"/>
    </row>
    <row r="1039">
      <c r="C1039" s="39"/>
      <c r="D1039" s="39"/>
    </row>
    <row r="1040">
      <c r="C1040" s="39"/>
      <c r="D1040" s="39"/>
    </row>
    <row r="1041">
      <c r="C1041" s="39"/>
      <c r="D1041" s="39"/>
    </row>
    <row r="1042">
      <c r="C1042" s="39"/>
      <c r="D1042" s="39"/>
    </row>
    <row r="1043">
      <c r="C1043" s="39"/>
      <c r="D1043" s="39"/>
    </row>
    <row r="1044">
      <c r="C1044" s="39"/>
      <c r="D1044" s="39"/>
    </row>
    <row r="1045">
      <c r="C1045" s="39"/>
      <c r="D1045" s="39"/>
    </row>
    <row r="1046">
      <c r="C1046" s="39"/>
      <c r="D1046" s="39"/>
    </row>
    <row r="1047">
      <c r="C1047" s="39"/>
      <c r="D1047" s="39"/>
    </row>
    <row r="1048">
      <c r="C1048" s="39"/>
      <c r="D1048" s="39"/>
    </row>
    <row r="1049">
      <c r="C1049" s="39"/>
      <c r="D1049" s="39"/>
    </row>
    <row r="1050">
      <c r="C1050" s="39"/>
      <c r="D1050" s="39"/>
    </row>
    <row r="1051">
      <c r="C1051" s="39"/>
      <c r="D1051" s="39"/>
    </row>
    <row r="1052">
      <c r="C1052" s="39"/>
      <c r="D1052" s="39"/>
    </row>
    <row r="1053">
      <c r="C1053" s="39"/>
      <c r="D1053" s="39"/>
    </row>
    <row r="1054">
      <c r="C1054" s="39"/>
      <c r="D1054" s="39"/>
    </row>
    <row r="1055">
      <c r="C1055" s="39"/>
      <c r="D1055" s="39"/>
    </row>
    <row r="1056">
      <c r="C1056" s="39"/>
      <c r="D1056" s="39"/>
    </row>
    <row r="1057">
      <c r="C1057" s="39"/>
      <c r="D1057" s="39"/>
    </row>
    <row r="1058">
      <c r="C1058" s="39"/>
      <c r="D1058" s="39"/>
    </row>
    <row r="1059">
      <c r="C1059" s="39"/>
      <c r="D1059" s="39"/>
    </row>
    <row r="1060">
      <c r="C1060" s="39"/>
      <c r="D1060" s="39"/>
    </row>
    <row r="1061">
      <c r="C1061" s="39"/>
      <c r="D1061" s="39"/>
    </row>
    <row r="1062">
      <c r="C1062" s="39"/>
      <c r="D1062" s="39"/>
    </row>
    <row r="1063">
      <c r="C1063" s="39"/>
      <c r="D1063" s="39"/>
    </row>
    <row r="1064">
      <c r="C1064" s="39"/>
      <c r="D1064" s="39"/>
    </row>
    <row r="1065">
      <c r="C1065" s="39"/>
      <c r="D1065" s="39"/>
    </row>
    <row r="1066">
      <c r="C1066" s="39"/>
      <c r="D1066" s="39"/>
    </row>
    <row r="1067">
      <c r="C1067" s="39"/>
      <c r="D1067" s="39"/>
    </row>
    <row r="1068">
      <c r="C1068" s="39"/>
      <c r="D1068" s="39"/>
    </row>
    <row r="1069">
      <c r="C1069" s="39"/>
      <c r="D1069" s="39"/>
    </row>
    <row r="1070">
      <c r="C1070" s="39"/>
      <c r="D1070" s="39"/>
    </row>
    <row r="1071">
      <c r="C1071" s="39"/>
      <c r="D1071" s="39"/>
    </row>
    <row r="1072">
      <c r="C1072" s="39"/>
      <c r="D1072" s="39"/>
    </row>
    <row r="1073">
      <c r="C1073" s="39"/>
      <c r="D1073" s="39"/>
    </row>
    <row r="1074">
      <c r="C1074" s="39"/>
      <c r="D1074" s="39"/>
    </row>
    <row r="1075">
      <c r="C1075" s="39"/>
      <c r="D1075" s="39"/>
    </row>
    <row r="1076">
      <c r="C1076" s="39"/>
      <c r="D1076" s="39"/>
    </row>
    <row r="1077">
      <c r="C1077" s="39"/>
      <c r="D1077" s="39"/>
    </row>
    <row r="1078">
      <c r="C1078" s="39"/>
      <c r="D1078" s="39"/>
    </row>
    <row r="1079">
      <c r="C1079" s="39"/>
      <c r="D1079" s="39"/>
    </row>
    <row r="1080">
      <c r="C1080" s="39"/>
      <c r="D1080" s="39"/>
    </row>
    <row r="1081">
      <c r="C1081" s="39"/>
      <c r="D1081" s="39"/>
    </row>
    <row r="1082">
      <c r="C1082" s="39"/>
      <c r="D1082" s="39"/>
    </row>
    <row r="1083">
      <c r="C1083" s="39"/>
      <c r="D1083" s="39"/>
    </row>
    <row r="1084">
      <c r="C1084" s="39"/>
      <c r="D1084" s="39"/>
    </row>
    <row r="1085">
      <c r="C1085" s="39"/>
      <c r="D1085" s="39"/>
    </row>
    <row r="1086">
      <c r="C1086" s="39"/>
      <c r="D1086" s="39"/>
    </row>
    <row r="1087">
      <c r="C1087" s="39"/>
      <c r="D1087" s="39"/>
    </row>
    <row r="1088">
      <c r="C1088" s="39"/>
      <c r="D1088" s="39"/>
    </row>
    <row r="1089">
      <c r="C1089" s="39"/>
      <c r="D1089" s="39"/>
    </row>
    <row r="1090">
      <c r="C1090" s="39"/>
      <c r="D1090" s="39"/>
    </row>
    <row r="1091">
      <c r="C1091" s="39"/>
      <c r="D1091" s="39"/>
    </row>
    <row r="1092">
      <c r="C1092" s="39"/>
      <c r="D1092" s="39"/>
    </row>
    <row r="1093">
      <c r="C1093" s="39"/>
      <c r="D1093" s="39"/>
    </row>
    <row r="1094">
      <c r="C1094" s="39"/>
      <c r="D1094" s="39"/>
    </row>
    <row r="1095">
      <c r="C1095" s="39"/>
      <c r="D1095" s="39"/>
    </row>
    <row r="1096">
      <c r="C1096" s="39"/>
      <c r="D1096" s="39"/>
    </row>
    <row r="1097">
      <c r="C1097" s="39"/>
      <c r="D1097" s="39"/>
    </row>
    <row r="1098">
      <c r="C1098" s="39"/>
      <c r="D1098" s="39"/>
    </row>
    <row r="1099">
      <c r="C1099" s="39"/>
      <c r="D1099" s="39"/>
    </row>
    <row r="1100">
      <c r="C1100" s="39"/>
      <c r="D1100" s="39"/>
    </row>
    <row r="1101">
      <c r="C1101" s="39"/>
      <c r="D1101" s="39"/>
    </row>
    <row r="1102">
      <c r="C1102" s="39"/>
      <c r="D1102" s="39"/>
    </row>
    <row r="1103">
      <c r="C1103" s="39"/>
      <c r="D1103" s="39"/>
    </row>
    <row r="1104">
      <c r="C1104" s="39"/>
      <c r="D1104" s="39"/>
    </row>
    <row r="1105">
      <c r="C1105" s="39"/>
      <c r="D1105" s="39"/>
    </row>
    <row r="1106">
      <c r="C1106" s="39"/>
      <c r="D1106" s="39"/>
    </row>
    <row r="1107">
      <c r="C1107" s="39"/>
      <c r="D1107" s="39"/>
    </row>
    <row r="1108">
      <c r="C1108" s="39"/>
      <c r="D1108" s="39"/>
    </row>
    <row r="1109">
      <c r="C1109" s="39"/>
      <c r="D1109" s="39"/>
    </row>
    <row r="1110">
      <c r="C1110" s="39"/>
      <c r="D1110" s="39"/>
    </row>
    <row r="1111">
      <c r="C1111" s="39"/>
      <c r="D1111" s="39"/>
    </row>
    <row r="1112">
      <c r="C1112" s="39"/>
      <c r="D1112" s="39"/>
    </row>
    <row r="1113">
      <c r="C1113" s="39"/>
      <c r="D1113" s="39"/>
    </row>
    <row r="1114">
      <c r="C1114" s="39"/>
      <c r="D1114" s="39"/>
    </row>
    <row r="1115">
      <c r="C1115" s="39"/>
      <c r="D1115" s="39"/>
    </row>
    <row r="1116">
      <c r="C1116" s="39"/>
      <c r="D1116" s="39"/>
    </row>
    <row r="1117">
      <c r="C1117" s="39"/>
      <c r="D1117" s="39"/>
    </row>
    <row r="1118">
      <c r="C1118" s="39"/>
      <c r="D1118" s="39"/>
    </row>
    <row r="1119">
      <c r="C1119" s="39"/>
      <c r="D1119" s="39"/>
    </row>
    <row r="1120">
      <c r="C1120" s="39"/>
      <c r="D1120" s="39"/>
    </row>
    <row r="1121">
      <c r="C1121" s="39"/>
      <c r="D1121" s="39"/>
    </row>
    <row r="1122">
      <c r="C1122" s="39"/>
      <c r="D1122" s="39"/>
    </row>
    <row r="1123">
      <c r="C1123" s="39"/>
      <c r="D1123" s="39"/>
    </row>
    <row r="1124">
      <c r="C1124" s="39"/>
      <c r="D1124" s="39"/>
    </row>
    <row r="1125">
      <c r="C1125" s="39"/>
      <c r="D1125" s="39"/>
    </row>
    <row r="1126">
      <c r="C1126" s="39"/>
      <c r="D1126" s="39"/>
    </row>
    <row r="1127">
      <c r="C1127" s="39"/>
      <c r="D1127" s="39"/>
    </row>
    <row r="1128">
      <c r="C1128" s="39"/>
      <c r="D1128" s="39"/>
    </row>
    <row r="1129">
      <c r="C1129" s="39"/>
      <c r="D1129" s="39"/>
    </row>
    <row r="1130">
      <c r="C1130" s="39"/>
      <c r="D1130" s="39"/>
    </row>
    <row r="1131">
      <c r="C1131" s="39"/>
      <c r="D1131" s="39"/>
    </row>
    <row r="1132">
      <c r="C1132" s="39"/>
      <c r="D1132" s="39"/>
    </row>
    <row r="1133">
      <c r="C1133" s="39"/>
      <c r="D1133" s="39"/>
    </row>
    <row r="1134">
      <c r="C1134" s="39"/>
      <c r="D1134" s="39"/>
    </row>
    <row r="1135">
      <c r="C1135" s="39"/>
      <c r="D1135" s="39"/>
    </row>
    <row r="1136">
      <c r="C1136" s="39"/>
      <c r="D1136" s="39"/>
    </row>
    <row r="1137">
      <c r="C1137" s="39"/>
      <c r="D1137" s="39"/>
    </row>
    <row r="1138">
      <c r="C1138" s="39"/>
      <c r="D1138" s="39"/>
    </row>
    <row r="1139">
      <c r="C1139" s="39"/>
      <c r="D1139" s="39"/>
    </row>
    <row r="1140">
      <c r="C1140" s="39"/>
      <c r="D1140" s="39"/>
    </row>
    <row r="1141">
      <c r="C1141" s="39"/>
      <c r="D1141" s="39"/>
    </row>
    <row r="1142">
      <c r="C1142" s="39"/>
      <c r="D1142" s="39"/>
    </row>
    <row r="1143">
      <c r="C1143" s="39"/>
      <c r="D1143" s="39"/>
    </row>
    <row r="1144">
      <c r="C1144" s="39"/>
      <c r="D1144" s="39"/>
    </row>
    <row r="1145">
      <c r="C1145" s="39"/>
      <c r="D1145" s="39"/>
    </row>
    <row r="1146">
      <c r="C1146" s="39"/>
      <c r="D1146" s="39"/>
    </row>
    <row r="1147">
      <c r="C1147" s="39"/>
      <c r="D1147" s="39"/>
    </row>
    <row r="1148">
      <c r="C1148" s="39"/>
      <c r="D1148" s="39"/>
    </row>
    <row r="1149">
      <c r="C1149" s="39"/>
      <c r="D1149" s="39"/>
    </row>
    <row r="1150">
      <c r="C1150" s="39"/>
      <c r="D1150" s="39"/>
    </row>
    <row r="1151">
      <c r="C1151" s="39"/>
      <c r="D1151" s="39"/>
    </row>
    <row r="1152">
      <c r="C1152" s="39"/>
      <c r="D1152" s="39"/>
    </row>
    <row r="1153">
      <c r="C1153" s="39"/>
      <c r="D1153" s="39"/>
    </row>
    <row r="1154">
      <c r="C1154" s="39"/>
      <c r="D1154" s="39"/>
    </row>
    <row r="1155">
      <c r="C1155" s="39"/>
      <c r="D1155" s="39"/>
    </row>
    <row r="1156">
      <c r="C1156" s="39"/>
      <c r="D1156" s="39"/>
    </row>
    <row r="1157">
      <c r="C1157" s="39"/>
      <c r="D1157" s="39"/>
    </row>
    <row r="1158">
      <c r="C1158" s="39"/>
      <c r="D1158" s="39"/>
    </row>
    <row r="1159">
      <c r="C1159" s="39"/>
      <c r="D1159" s="39"/>
    </row>
    <row r="1160">
      <c r="C1160" s="39"/>
      <c r="D1160" s="39"/>
    </row>
    <row r="1161">
      <c r="C1161" s="39"/>
      <c r="D1161" s="39"/>
    </row>
    <row r="1162">
      <c r="C1162" s="39"/>
      <c r="D1162" s="39"/>
    </row>
    <row r="1163">
      <c r="C1163" s="39"/>
      <c r="D1163" s="39"/>
    </row>
    <row r="1164">
      <c r="C1164" s="39"/>
      <c r="D1164" s="39"/>
    </row>
    <row r="1165">
      <c r="C1165" s="39"/>
      <c r="D1165" s="39"/>
    </row>
    <row r="1166">
      <c r="C1166" s="39"/>
      <c r="D1166" s="39"/>
    </row>
    <row r="1167">
      <c r="C1167" s="39"/>
      <c r="D1167" s="39"/>
    </row>
    <row r="1168">
      <c r="C1168" s="39"/>
      <c r="D1168" s="39"/>
    </row>
    <row r="1169">
      <c r="C1169" s="39"/>
      <c r="D1169" s="39"/>
    </row>
    <row r="1170">
      <c r="C1170" s="39"/>
      <c r="D1170" s="39"/>
    </row>
    <row r="1171">
      <c r="C1171" s="39"/>
      <c r="D1171" s="39"/>
    </row>
    <row r="1172">
      <c r="C1172" s="39"/>
      <c r="D1172" s="39"/>
    </row>
    <row r="1173">
      <c r="C1173" s="39"/>
      <c r="D1173" s="39"/>
    </row>
    <row r="1174">
      <c r="C1174" s="39"/>
      <c r="D1174" s="39"/>
    </row>
    <row r="1175">
      <c r="C1175" s="39"/>
      <c r="D1175" s="39"/>
    </row>
    <row r="1176">
      <c r="C1176" s="39"/>
      <c r="D1176" s="39"/>
    </row>
    <row r="1177">
      <c r="C1177" s="39"/>
      <c r="D1177" s="39"/>
    </row>
    <row r="1178">
      <c r="C1178" s="39"/>
      <c r="D1178" s="39"/>
    </row>
    <row r="1179">
      <c r="C1179" s="39"/>
      <c r="D1179" s="39"/>
    </row>
    <row r="1180">
      <c r="C1180" s="39"/>
      <c r="D1180" s="39"/>
    </row>
    <row r="1181">
      <c r="C1181" s="39"/>
      <c r="D1181" s="39"/>
    </row>
    <row r="1182">
      <c r="C1182" s="39"/>
      <c r="D1182" s="39"/>
    </row>
    <row r="1183">
      <c r="C1183" s="39"/>
      <c r="D1183" s="39"/>
    </row>
    <row r="1184">
      <c r="C1184" s="39"/>
      <c r="D1184" s="39"/>
    </row>
    <row r="1185">
      <c r="C1185" s="39"/>
      <c r="D1185" s="39"/>
    </row>
    <row r="1186">
      <c r="C1186" s="39"/>
      <c r="D1186" s="39"/>
    </row>
    <row r="1187">
      <c r="C1187" s="39"/>
      <c r="D1187" s="39"/>
    </row>
    <row r="1188">
      <c r="C1188" s="39"/>
      <c r="D1188" s="39"/>
    </row>
    <row r="1189">
      <c r="C1189" s="39"/>
      <c r="D1189" s="39"/>
    </row>
    <row r="1190">
      <c r="C1190" s="39"/>
      <c r="D1190" s="39"/>
    </row>
    <row r="1191">
      <c r="C1191" s="39"/>
      <c r="D1191" s="39"/>
    </row>
    <row r="1192">
      <c r="C1192" s="39"/>
      <c r="D1192" s="39"/>
    </row>
    <row r="1193">
      <c r="C1193" s="39"/>
      <c r="D1193" s="39"/>
    </row>
    <row r="1194">
      <c r="C1194" s="39"/>
      <c r="D1194" s="39"/>
    </row>
    <row r="1195">
      <c r="C1195" s="39"/>
      <c r="D1195" s="39"/>
    </row>
    <row r="1196">
      <c r="C1196" s="39"/>
      <c r="D1196" s="39"/>
    </row>
    <row r="1197">
      <c r="C1197" s="39"/>
      <c r="D1197" s="39"/>
    </row>
    <row r="1198">
      <c r="C1198" s="39"/>
      <c r="D1198" s="39"/>
    </row>
    <row r="1199">
      <c r="C1199" s="39"/>
      <c r="D1199" s="39"/>
    </row>
    <row r="1200">
      <c r="C1200" s="39"/>
      <c r="D1200" s="39"/>
    </row>
    <row r="1201">
      <c r="C1201" s="39"/>
      <c r="D1201" s="39"/>
    </row>
    <row r="1202">
      <c r="C1202" s="39"/>
      <c r="D1202" s="39"/>
    </row>
    <row r="1203">
      <c r="C1203" s="39"/>
      <c r="D1203" s="39"/>
    </row>
    <row r="1204">
      <c r="C1204" s="39"/>
      <c r="D1204" s="39"/>
    </row>
    <row r="1205">
      <c r="C1205" s="39"/>
      <c r="D1205" s="39"/>
    </row>
    <row r="1206">
      <c r="C1206" s="39"/>
      <c r="D1206" s="39"/>
    </row>
    <row r="1207">
      <c r="C1207" s="39"/>
      <c r="D1207" s="39"/>
    </row>
    <row r="1208">
      <c r="C1208" s="39"/>
      <c r="D1208" s="39"/>
    </row>
    <row r="1209">
      <c r="C1209" s="39"/>
      <c r="D1209" s="39"/>
    </row>
    <row r="1210">
      <c r="C1210" s="39"/>
      <c r="D1210" s="39"/>
    </row>
    <row r="1211">
      <c r="C1211" s="39"/>
      <c r="D1211" s="39"/>
    </row>
    <row r="1212">
      <c r="C1212" s="39"/>
      <c r="D1212" s="39"/>
    </row>
    <row r="1213">
      <c r="C1213" s="39"/>
      <c r="D1213" s="39"/>
    </row>
    <row r="1214">
      <c r="C1214" s="39"/>
      <c r="D1214" s="39"/>
    </row>
    <row r="1215">
      <c r="C1215" s="39"/>
      <c r="D1215" s="39"/>
    </row>
    <row r="1216">
      <c r="C1216" s="39"/>
      <c r="D1216" s="39"/>
    </row>
    <row r="1217">
      <c r="C1217" s="39"/>
      <c r="D1217" s="39"/>
    </row>
    <row r="1218">
      <c r="C1218" s="39"/>
      <c r="D1218" s="39"/>
    </row>
    <row r="1219">
      <c r="C1219" s="39"/>
      <c r="D1219" s="39"/>
    </row>
    <row r="1220">
      <c r="C1220" s="39"/>
      <c r="D1220" s="39"/>
    </row>
    <row r="1221">
      <c r="C1221" s="39"/>
      <c r="D1221" s="39"/>
    </row>
    <row r="1222">
      <c r="C1222" s="39"/>
      <c r="D1222" s="39"/>
    </row>
    <row r="1223">
      <c r="C1223" s="39"/>
      <c r="D1223" s="39"/>
    </row>
    <row r="1224">
      <c r="C1224" s="39"/>
      <c r="D1224" s="39"/>
    </row>
    <row r="1225">
      <c r="C1225" s="39"/>
      <c r="D1225" s="39"/>
    </row>
    <row r="1226">
      <c r="C1226" s="39"/>
      <c r="D1226" s="39"/>
    </row>
    <row r="1227">
      <c r="C1227" s="39"/>
      <c r="D1227" s="39"/>
    </row>
    <row r="1228">
      <c r="C1228" s="39"/>
      <c r="D1228" s="39"/>
    </row>
    <row r="1229">
      <c r="C1229" s="39"/>
      <c r="D1229" s="39"/>
    </row>
    <row r="1230">
      <c r="C1230" s="39"/>
      <c r="D1230" s="39"/>
    </row>
    <row r="1231">
      <c r="C1231" s="39"/>
      <c r="D1231" s="39"/>
    </row>
    <row r="1232">
      <c r="C1232" s="39"/>
      <c r="D1232" s="39"/>
    </row>
    <row r="1233">
      <c r="C1233" s="39"/>
      <c r="D1233" s="39"/>
    </row>
    <row r="1234">
      <c r="C1234" s="39"/>
      <c r="D1234" s="39"/>
    </row>
    <row r="1235">
      <c r="C1235" s="39"/>
      <c r="D1235" s="39"/>
    </row>
    <row r="1236">
      <c r="C1236" s="39"/>
      <c r="D1236" s="39"/>
    </row>
    <row r="1237">
      <c r="C1237" s="39"/>
      <c r="D1237" s="39"/>
    </row>
    <row r="1238">
      <c r="C1238" s="39"/>
      <c r="D1238" s="39"/>
    </row>
    <row r="1239">
      <c r="C1239" s="39"/>
      <c r="D1239" s="39"/>
    </row>
    <row r="1240">
      <c r="C1240" s="39"/>
      <c r="D1240" s="39"/>
    </row>
    <row r="1241">
      <c r="C1241" s="39"/>
      <c r="D1241" s="39"/>
    </row>
    <row r="1242">
      <c r="C1242" s="39"/>
      <c r="D1242" s="39"/>
    </row>
    <row r="1243">
      <c r="C1243" s="39"/>
      <c r="D1243" s="39"/>
    </row>
    <row r="1244">
      <c r="C1244" s="39"/>
      <c r="D1244" s="39"/>
    </row>
    <row r="1245">
      <c r="C1245" s="39"/>
      <c r="D1245" s="39"/>
    </row>
    <row r="1246">
      <c r="C1246" s="39"/>
      <c r="D1246" s="39"/>
    </row>
    <row r="1247">
      <c r="C1247" s="39"/>
      <c r="D1247" s="39"/>
    </row>
    <row r="1248">
      <c r="C1248" s="39"/>
      <c r="D1248" s="39"/>
    </row>
    <row r="1249">
      <c r="C1249" s="39"/>
      <c r="D1249" s="39"/>
    </row>
    <row r="1250">
      <c r="C1250" s="39"/>
      <c r="D1250" s="39"/>
    </row>
    <row r="1251">
      <c r="C1251" s="39"/>
      <c r="D1251" s="39"/>
    </row>
    <row r="1252">
      <c r="C1252" s="39"/>
      <c r="D1252" s="39"/>
    </row>
    <row r="1253">
      <c r="C1253" s="39"/>
      <c r="D1253" s="39"/>
    </row>
    <row r="1254">
      <c r="C1254" s="39"/>
      <c r="D1254" s="39"/>
    </row>
    <row r="1255">
      <c r="C1255" s="39"/>
      <c r="D1255" s="39"/>
    </row>
    <row r="1256">
      <c r="C1256" s="39"/>
      <c r="D1256" s="39"/>
    </row>
    <row r="1257">
      <c r="C1257" s="39"/>
      <c r="D1257" s="39"/>
    </row>
    <row r="1258">
      <c r="C1258" s="39"/>
      <c r="D1258" s="39"/>
    </row>
    <row r="1259">
      <c r="C1259" s="39"/>
      <c r="D1259" s="39"/>
    </row>
    <row r="1260">
      <c r="C1260" s="39"/>
      <c r="D1260" s="39"/>
    </row>
    <row r="1261">
      <c r="C1261" s="39"/>
      <c r="D1261" s="39"/>
    </row>
    <row r="1262">
      <c r="C1262" s="39"/>
      <c r="D1262" s="39"/>
    </row>
    <row r="1263">
      <c r="C1263" s="39"/>
      <c r="D1263" s="39"/>
    </row>
    <row r="1264">
      <c r="C1264" s="39"/>
      <c r="D1264" s="39"/>
    </row>
    <row r="1265">
      <c r="C1265" s="39"/>
      <c r="D1265" s="39"/>
    </row>
    <row r="1266">
      <c r="C1266" s="39"/>
      <c r="D1266" s="39"/>
    </row>
    <row r="1267">
      <c r="C1267" s="39"/>
      <c r="D1267" s="39"/>
    </row>
    <row r="1268">
      <c r="C1268" s="39"/>
      <c r="D1268" s="39"/>
    </row>
    <row r="1269">
      <c r="C1269" s="39"/>
      <c r="D1269" s="39"/>
    </row>
    <row r="1270">
      <c r="C1270" s="39"/>
      <c r="D1270" s="39"/>
    </row>
    <row r="1271">
      <c r="C1271" s="39"/>
      <c r="D1271" s="39"/>
    </row>
    <row r="1272">
      <c r="C1272" s="39"/>
      <c r="D1272" s="39"/>
    </row>
    <row r="1273">
      <c r="C1273" s="39"/>
      <c r="D1273" s="39"/>
    </row>
    <row r="1274">
      <c r="C1274" s="39"/>
      <c r="D1274" s="39"/>
    </row>
    <row r="1275">
      <c r="C1275" s="39"/>
      <c r="D1275" s="39"/>
    </row>
    <row r="1276">
      <c r="C1276" s="39"/>
      <c r="D1276" s="39"/>
    </row>
    <row r="1277">
      <c r="C1277" s="39"/>
      <c r="D1277" s="39"/>
    </row>
    <row r="1278">
      <c r="C1278" s="39"/>
      <c r="D1278" s="39"/>
    </row>
    <row r="1279">
      <c r="C1279" s="39"/>
      <c r="D1279" s="39"/>
    </row>
    <row r="1280">
      <c r="C1280" s="39"/>
      <c r="D1280" s="39"/>
    </row>
    <row r="1281">
      <c r="C1281" s="39"/>
      <c r="D1281" s="39"/>
    </row>
    <row r="1282">
      <c r="C1282" s="39"/>
      <c r="D1282" s="39"/>
    </row>
    <row r="1283">
      <c r="C1283" s="39"/>
      <c r="D1283" s="39"/>
    </row>
    <row r="1284">
      <c r="C1284" s="39"/>
      <c r="D1284" s="39"/>
    </row>
    <row r="1285">
      <c r="C1285" s="39"/>
      <c r="D1285" s="39"/>
    </row>
    <row r="1286">
      <c r="C1286" s="39"/>
      <c r="D1286" s="39"/>
    </row>
    <row r="1287">
      <c r="C1287" s="39"/>
      <c r="D1287" s="39"/>
    </row>
    <row r="1288">
      <c r="C1288" s="39"/>
      <c r="D1288" s="39"/>
    </row>
    <row r="1289">
      <c r="C1289" s="39"/>
      <c r="D1289" s="39"/>
    </row>
    <row r="1290">
      <c r="C1290" s="39"/>
      <c r="D1290" s="39"/>
    </row>
    <row r="1291">
      <c r="C1291" s="39"/>
      <c r="D1291" s="39"/>
    </row>
    <row r="1292">
      <c r="C1292" s="39"/>
      <c r="D1292" s="39"/>
    </row>
    <row r="1293">
      <c r="C1293" s="39"/>
      <c r="D1293" s="39"/>
    </row>
    <row r="1294">
      <c r="C1294" s="39"/>
      <c r="D1294" s="39"/>
    </row>
    <row r="1295">
      <c r="C1295" s="39"/>
      <c r="D1295" s="39"/>
    </row>
    <row r="1296">
      <c r="C1296" s="39"/>
      <c r="D1296" s="39"/>
    </row>
    <row r="1297">
      <c r="C1297" s="39"/>
      <c r="D1297" s="39"/>
    </row>
    <row r="1298">
      <c r="C1298" s="39"/>
      <c r="D1298" s="39"/>
    </row>
    <row r="1299">
      <c r="C1299" s="39"/>
      <c r="D1299" s="39"/>
    </row>
    <row r="1300">
      <c r="C1300" s="39"/>
      <c r="D1300" s="39"/>
    </row>
    <row r="1301">
      <c r="C1301" s="39"/>
      <c r="D1301" s="39"/>
    </row>
    <row r="1302">
      <c r="C1302" s="39"/>
      <c r="D1302" s="39"/>
    </row>
    <row r="1303">
      <c r="C1303" s="39"/>
      <c r="D1303" s="39"/>
    </row>
    <row r="1304">
      <c r="C1304" s="39"/>
      <c r="D1304" s="39"/>
    </row>
    <row r="1305">
      <c r="C1305" s="39"/>
      <c r="D1305" s="39"/>
    </row>
    <row r="1306">
      <c r="C1306" s="39"/>
      <c r="D1306" s="39"/>
    </row>
    <row r="1307">
      <c r="C1307" s="39"/>
      <c r="D1307" s="39"/>
    </row>
    <row r="1308">
      <c r="C1308" s="39"/>
      <c r="D1308" s="39"/>
    </row>
    <row r="1309">
      <c r="C1309" s="39"/>
      <c r="D1309" s="39"/>
    </row>
    <row r="1310">
      <c r="C1310" s="39"/>
      <c r="D1310" s="39"/>
    </row>
    <row r="1311">
      <c r="C1311" s="39"/>
      <c r="D1311" s="39"/>
    </row>
    <row r="1312">
      <c r="C1312" s="39"/>
      <c r="D1312" s="39"/>
    </row>
    <row r="1313">
      <c r="C1313" s="39"/>
      <c r="D1313" s="39"/>
    </row>
    <row r="1314">
      <c r="C1314" s="39"/>
      <c r="D1314" s="39"/>
    </row>
    <row r="1315">
      <c r="C1315" s="39"/>
      <c r="D1315" s="39"/>
    </row>
    <row r="1316">
      <c r="C1316" s="39"/>
      <c r="D1316" s="39"/>
    </row>
    <row r="1317">
      <c r="C1317" s="39"/>
      <c r="D1317" s="39"/>
    </row>
    <row r="1318">
      <c r="C1318" s="39"/>
      <c r="D1318" s="39"/>
    </row>
    <row r="1319">
      <c r="C1319" s="39"/>
      <c r="D1319" s="39"/>
    </row>
    <row r="1320">
      <c r="C1320" s="39"/>
      <c r="D1320" s="39"/>
    </row>
    <row r="1321">
      <c r="C1321" s="39"/>
      <c r="D1321" s="39"/>
    </row>
    <row r="1322">
      <c r="C1322" s="39"/>
      <c r="D1322" s="39"/>
    </row>
    <row r="1323">
      <c r="C1323" s="39"/>
      <c r="D1323" s="39"/>
    </row>
    <row r="1324">
      <c r="C1324" s="39"/>
      <c r="D1324" s="39"/>
    </row>
    <row r="1325">
      <c r="C1325" s="39"/>
      <c r="D1325" s="39"/>
    </row>
    <row r="1326">
      <c r="C1326" s="39"/>
      <c r="D1326" s="39"/>
    </row>
    <row r="1327">
      <c r="C1327" s="39"/>
      <c r="D1327" s="39"/>
    </row>
    <row r="1328">
      <c r="C1328" s="39"/>
      <c r="D1328" s="39"/>
    </row>
    <row r="1329">
      <c r="C1329" s="39"/>
      <c r="D1329" s="39"/>
    </row>
    <row r="1330">
      <c r="C1330" s="39"/>
      <c r="D1330" s="39"/>
    </row>
    <row r="1331">
      <c r="C1331" s="39"/>
      <c r="D1331" s="39"/>
    </row>
    <row r="1332">
      <c r="C1332" s="39"/>
      <c r="D1332" s="39"/>
    </row>
    <row r="1333">
      <c r="C1333" s="39"/>
      <c r="D1333" s="39"/>
    </row>
    <row r="1334">
      <c r="C1334" s="39"/>
      <c r="D1334" s="39"/>
    </row>
    <row r="1335">
      <c r="C1335" s="39"/>
      <c r="D1335" s="39"/>
    </row>
    <row r="1336">
      <c r="C1336" s="39"/>
      <c r="D1336" s="39"/>
    </row>
    <row r="1337">
      <c r="C1337" s="39"/>
      <c r="D1337" s="39"/>
    </row>
    <row r="1338">
      <c r="C1338" s="39"/>
      <c r="D1338" s="39"/>
    </row>
    <row r="1339">
      <c r="C1339" s="39"/>
      <c r="D1339" s="39"/>
    </row>
    <row r="1340">
      <c r="C1340" s="39"/>
      <c r="D1340" s="39"/>
    </row>
    <row r="1341">
      <c r="C1341" s="39"/>
      <c r="D1341" s="39"/>
    </row>
    <row r="1342">
      <c r="C1342" s="39"/>
      <c r="D1342" s="39"/>
    </row>
    <row r="1343">
      <c r="C1343" s="39"/>
      <c r="D1343" s="39"/>
    </row>
    <row r="1344">
      <c r="C1344" s="39"/>
      <c r="D1344" s="39"/>
    </row>
    <row r="1345">
      <c r="C1345" s="39"/>
      <c r="D1345" s="39"/>
    </row>
    <row r="1346">
      <c r="C1346" s="39"/>
      <c r="D1346" s="39"/>
    </row>
    <row r="1347">
      <c r="C1347" s="39"/>
      <c r="D1347" s="39"/>
    </row>
    <row r="1348">
      <c r="C1348" s="39"/>
      <c r="D1348" s="39"/>
    </row>
    <row r="1349">
      <c r="C1349" s="39"/>
      <c r="D1349" s="39"/>
    </row>
    <row r="1350">
      <c r="C1350" s="39"/>
      <c r="D1350" s="39"/>
    </row>
    <row r="1351">
      <c r="C1351" s="39"/>
      <c r="D1351" s="39"/>
    </row>
    <row r="1352">
      <c r="C1352" s="39"/>
      <c r="D1352" s="39"/>
    </row>
    <row r="1353">
      <c r="C1353" s="39"/>
      <c r="D1353" s="39"/>
    </row>
    <row r="1354">
      <c r="C1354" s="39"/>
      <c r="D1354" s="39"/>
    </row>
    <row r="1355">
      <c r="C1355" s="39"/>
      <c r="D1355" s="39"/>
    </row>
    <row r="1356">
      <c r="C1356" s="39"/>
      <c r="D1356" s="39"/>
    </row>
    <row r="1357">
      <c r="C1357" s="39"/>
      <c r="D1357" s="39"/>
    </row>
    <row r="1358">
      <c r="C1358" s="39"/>
      <c r="D1358" s="39"/>
    </row>
    <row r="1359">
      <c r="C1359" s="39"/>
      <c r="D1359" s="39"/>
    </row>
    <row r="1360">
      <c r="C1360" s="39"/>
      <c r="D1360" s="39"/>
    </row>
    <row r="1361">
      <c r="C1361" s="39"/>
      <c r="D1361" s="39"/>
    </row>
    <row r="1362">
      <c r="C1362" s="39"/>
      <c r="D1362" s="39"/>
    </row>
    <row r="1363">
      <c r="C1363" s="39"/>
      <c r="D1363" s="39"/>
    </row>
    <row r="1364">
      <c r="C1364" s="39"/>
      <c r="D1364" s="39"/>
    </row>
    <row r="1365">
      <c r="C1365" s="39"/>
      <c r="D1365" s="39"/>
    </row>
    <row r="1366">
      <c r="C1366" s="39"/>
      <c r="D1366" s="39"/>
    </row>
    <row r="1367">
      <c r="C1367" s="39"/>
      <c r="D1367" s="39"/>
    </row>
    <row r="1368">
      <c r="C1368" s="39"/>
      <c r="D1368" s="39"/>
    </row>
    <row r="1369">
      <c r="C1369" s="39"/>
      <c r="D1369" s="39"/>
    </row>
    <row r="1370">
      <c r="C1370" s="39"/>
      <c r="D1370" s="39"/>
    </row>
    <row r="1371">
      <c r="C1371" s="39"/>
      <c r="D1371" s="39"/>
    </row>
    <row r="1372">
      <c r="C1372" s="39"/>
      <c r="D1372" s="39"/>
    </row>
    <row r="1373">
      <c r="C1373" s="39"/>
      <c r="D1373" s="39"/>
    </row>
    <row r="1374">
      <c r="C1374" s="39"/>
      <c r="D1374" s="39"/>
    </row>
    <row r="1375">
      <c r="C1375" s="39"/>
      <c r="D1375" s="39"/>
    </row>
    <row r="1376">
      <c r="C1376" s="39"/>
      <c r="D1376" s="39"/>
    </row>
    <row r="1377">
      <c r="C1377" s="39"/>
      <c r="D1377" s="39"/>
    </row>
    <row r="1378">
      <c r="C1378" s="39"/>
      <c r="D1378" s="39"/>
    </row>
    <row r="1379">
      <c r="C1379" s="39"/>
      <c r="D1379" s="39"/>
    </row>
    <row r="1380">
      <c r="C1380" s="39"/>
      <c r="D1380" s="39"/>
    </row>
    <row r="1381">
      <c r="C1381" s="39"/>
      <c r="D1381" s="39"/>
    </row>
    <row r="1382">
      <c r="C1382" s="39"/>
      <c r="D1382" s="39"/>
    </row>
    <row r="1383">
      <c r="C1383" s="39"/>
      <c r="D1383" s="39"/>
    </row>
    <row r="1384">
      <c r="C1384" s="39"/>
      <c r="D1384" s="39"/>
    </row>
    <row r="1385">
      <c r="C1385" s="39"/>
      <c r="D1385" s="39"/>
    </row>
    <row r="1386">
      <c r="C1386" s="39"/>
      <c r="D1386" s="39"/>
    </row>
    <row r="1387">
      <c r="C1387" s="39"/>
      <c r="D1387" s="39"/>
    </row>
    <row r="1388">
      <c r="C1388" s="39"/>
      <c r="D1388" s="39"/>
    </row>
    <row r="1389">
      <c r="C1389" s="39"/>
      <c r="D1389" s="39"/>
    </row>
    <row r="1390">
      <c r="C1390" s="39"/>
      <c r="D1390" s="39"/>
    </row>
    <row r="1391">
      <c r="C1391" s="39"/>
      <c r="D1391" s="39"/>
    </row>
    <row r="1392">
      <c r="C1392" s="39"/>
      <c r="D1392" s="39"/>
    </row>
    <row r="1393">
      <c r="C1393" s="39"/>
      <c r="D1393" s="39"/>
    </row>
    <row r="1394">
      <c r="C1394" s="39"/>
      <c r="D1394" s="39"/>
    </row>
    <row r="1395">
      <c r="C1395" s="39"/>
      <c r="D1395" s="39"/>
    </row>
    <row r="1396">
      <c r="C1396" s="39"/>
      <c r="D1396" s="39"/>
    </row>
    <row r="1397">
      <c r="C1397" s="39"/>
      <c r="D1397" s="39"/>
    </row>
    <row r="1398">
      <c r="C1398" s="39"/>
      <c r="D1398" s="39"/>
    </row>
    <row r="1399">
      <c r="C1399" s="39"/>
      <c r="D1399" s="39"/>
    </row>
    <row r="1400">
      <c r="C1400" s="39"/>
      <c r="D1400" s="39"/>
    </row>
    <row r="1401">
      <c r="C1401" s="39"/>
      <c r="D1401" s="39"/>
    </row>
    <row r="1402">
      <c r="C1402" s="39"/>
      <c r="D1402" s="39"/>
    </row>
    <row r="1403">
      <c r="C1403" s="39"/>
      <c r="D1403" s="39"/>
    </row>
    <row r="1404">
      <c r="C1404" s="39"/>
      <c r="D1404" s="39"/>
    </row>
    <row r="1405">
      <c r="C1405" s="39"/>
      <c r="D1405" s="39"/>
    </row>
    <row r="1406">
      <c r="C1406" s="39"/>
      <c r="D1406" s="39"/>
    </row>
    <row r="1407">
      <c r="C1407" s="39"/>
      <c r="D1407" s="39"/>
    </row>
    <row r="1408">
      <c r="C1408" s="39"/>
      <c r="D1408" s="39"/>
    </row>
    <row r="1409">
      <c r="C1409" s="39"/>
      <c r="D1409" s="39"/>
    </row>
    <row r="1410">
      <c r="C1410" s="39"/>
      <c r="D1410" s="39"/>
    </row>
    <row r="1411">
      <c r="C1411" s="39"/>
      <c r="D1411" s="39"/>
    </row>
    <row r="1412">
      <c r="C1412" s="39"/>
      <c r="D1412" s="39"/>
    </row>
    <row r="1413">
      <c r="C1413" s="39"/>
      <c r="D1413" s="39"/>
    </row>
    <row r="1414">
      <c r="C1414" s="39"/>
      <c r="D1414" s="39"/>
    </row>
    <row r="1415">
      <c r="C1415" s="39"/>
      <c r="D1415" s="39"/>
    </row>
    <row r="1416">
      <c r="C1416" s="39"/>
      <c r="D1416" s="39"/>
    </row>
    <row r="1417">
      <c r="C1417" s="39"/>
      <c r="D1417" s="39"/>
    </row>
    <row r="1418">
      <c r="C1418" s="39"/>
      <c r="D1418" s="39"/>
    </row>
    <row r="1419">
      <c r="C1419" s="39"/>
      <c r="D1419" s="39"/>
    </row>
    <row r="1420">
      <c r="C1420" s="39"/>
      <c r="D1420" s="39"/>
    </row>
    <row r="1421">
      <c r="C1421" s="39"/>
      <c r="D1421" s="39"/>
    </row>
    <row r="1422">
      <c r="C1422" s="39"/>
      <c r="D1422" s="39"/>
    </row>
    <row r="1423">
      <c r="C1423" s="39"/>
      <c r="D1423" s="39"/>
    </row>
    <row r="1424">
      <c r="C1424" s="39"/>
      <c r="D1424" s="39"/>
    </row>
    <row r="1425">
      <c r="C1425" s="39"/>
      <c r="D1425" s="39"/>
    </row>
    <row r="1426">
      <c r="C1426" s="39"/>
      <c r="D1426" s="39"/>
    </row>
    <row r="1427">
      <c r="C1427" s="39"/>
      <c r="D1427" s="39"/>
    </row>
    <row r="1428">
      <c r="C1428" s="39"/>
      <c r="D1428" s="39"/>
    </row>
    <row r="1429">
      <c r="C1429" s="39"/>
      <c r="D1429" s="39"/>
    </row>
    <row r="1430">
      <c r="C1430" s="39"/>
      <c r="D1430" s="39"/>
    </row>
    <row r="1431">
      <c r="C1431" s="39"/>
      <c r="D1431" s="39"/>
    </row>
    <row r="1432">
      <c r="C1432" s="39"/>
      <c r="D1432" s="39"/>
    </row>
    <row r="1433">
      <c r="C1433" s="39"/>
      <c r="D1433" s="39"/>
    </row>
    <row r="1434">
      <c r="C1434" s="39"/>
      <c r="D1434" s="39"/>
    </row>
    <row r="1435">
      <c r="C1435" s="39"/>
      <c r="D1435" s="39"/>
    </row>
    <row r="1436">
      <c r="C1436" s="39"/>
      <c r="D1436" s="39"/>
    </row>
    <row r="1437">
      <c r="C1437" s="39"/>
      <c r="D1437" s="39"/>
    </row>
    <row r="1438">
      <c r="C1438" s="39"/>
      <c r="D1438" s="39"/>
    </row>
    <row r="1439">
      <c r="C1439" s="39"/>
      <c r="D1439" s="39"/>
    </row>
    <row r="1440">
      <c r="C1440" s="39"/>
      <c r="D1440" s="39"/>
    </row>
    <row r="1441">
      <c r="C1441" s="39"/>
      <c r="D1441" s="39"/>
    </row>
    <row r="1442">
      <c r="C1442" s="39"/>
      <c r="D1442" s="39"/>
    </row>
    <row r="1443">
      <c r="C1443" s="39"/>
      <c r="D1443" s="39"/>
    </row>
    <row r="1444">
      <c r="C1444" s="39"/>
      <c r="D1444" s="39"/>
    </row>
    <row r="1445">
      <c r="C1445" s="39"/>
      <c r="D1445" s="39"/>
    </row>
    <row r="1446">
      <c r="C1446" s="39"/>
      <c r="D1446" s="39"/>
    </row>
    <row r="1447">
      <c r="C1447" s="39"/>
      <c r="D1447" s="39"/>
    </row>
    <row r="1448">
      <c r="C1448" s="39"/>
      <c r="D1448" s="39"/>
    </row>
    <row r="1449">
      <c r="C1449" s="39"/>
      <c r="D1449" s="39"/>
    </row>
    <row r="1450">
      <c r="C1450" s="39"/>
      <c r="D1450" s="39"/>
    </row>
    <row r="1451">
      <c r="C1451" s="39"/>
      <c r="D1451" s="39"/>
    </row>
    <row r="1452">
      <c r="C1452" s="39"/>
      <c r="D1452" s="39"/>
    </row>
    <row r="1453">
      <c r="C1453" s="39"/>
      <c r="D1453" s="39"/>
    </row>
    <row r="1454">
      <c r="C1454" s="39"/>
      <c r="D1454" s="39"/>
    </row>
    <row r="1455">
      <c r="C1455" s="39"/>
      <c r="D1455" s="39"/>
    </row>
    <row r="1456">
      <c r="C1456" s="39"/>
      <c r="D1456" s="39"/>
    </row>
    <row r="1457">
      <c r="C1457" s="39"/>
      <c r="D1457" s="39"/>
    </row>
    <row r="1458">
      <c r="C1458" s="39"/>
      <c r="D1458" s="39"/>
    </row>
    <row r="1459">
      <c r="C1459" s="39"/>
      <c r="D1459" s="39"/>
    </row>
    <row r="1460">
      <c r="C1460" s="39"/>
      <c r="D1460" s="39"/>
    </row>
    <row r="1461">
      <c r="C1461" s="39"/>
      <c r="D1461" s="39"/>
    </row>
    <row r="1462">
      <c r="C1462" s="39"/>
      <c r="D1462" s="39"/>
    </row>
    <row r="1463">
      <c r="C1463" s="39"/>
      <c r="D1463" s="39"/>
    </row>
    <row r="1464">
      <c r="C1464" s="39"/>
      <c r="D1464" s="39"/>
    </row>
    <row r="1465">
      <c r="C1465" s="39"/>
      <c r="D1465" s="39"/>
    </row>
    <row r="1466">
      <c r="C1466" s="39"/>
      <c r="D1466" s="39"/>
    </row>
    <row r="1467">
      <c r="C1467" s="39"/>
      <c r="D1467" s="39"/>
    </row>
    <row r="1468">
      <c r="C1468" s="39"/>
      <c r="D1468" s="39"/>
    </row>
    <row r="1469">
      <c r="C1469" s="39"/>
      <c r="D1469" s="39"/>
    </row>
    <row r="1470">
      <c r="C1470" s="39"/>
      <c r="D1470" s="39"/>
    </row>
    <row r="1471">
      <c r="C1471" s="39"/>
      <c r="D1471" s="39"/>
    </row>
    <row r="1472">
      <c r="C1472" s="39"/>
      <c r="D1472" s="39"/>
    </row>
    <row r="1473">
      <c r="C1473" s="39"/>
      <c r="D1473" s="39"/>
    </row>
    <row r="1474">
      <c r="C1474" s="39"/>
      <c r="D1474" s="39"/>
    </row>
    <row r="1475">
      <c r="C1475" s="39"/>
      <c r="D1475" s="39"/>
    </row>
    <row r="1476">
      <c r="C1476" s="39"/>
      <c r="D1476" s="39"/>
    </row>
    <row r="1477">
      <c r="C1477" s="39"/>
      <c r="D1477" s="39"/>
    </row>
    <row r="1478">
      <c r="C1478" s="39"/>
      <c r="D1478" s="39"/>
    </row>
    <row r="1479">
      <c r="C1479" s="39"/>
      <c r="D1479" s="39"/>
    </row>
    <row r="1480">
      <c r="C1480" s="39"/>
      <c r="D1480" s="39"/>
    </row>
    <row r="1481">
      <c r="C1481" s="39"/>
      <c r="D1481" s="39"/>
    </row>
    <row r="1482">
      <c r="C1482" s="39"/>
      <c r="D1482" s="39"/>
    </row>
    <row r="1483">
      <c r="C1483" s="39"/>
      <c r="D1483" s="39"/>
    </row>
    <row r="1484">
      <c r="C1484" s="39"/>
      <c r="D1484" s="39"/>
    </row>
    <row r="1485">
      <c r="C1485" s="39"/>
      <c r="D1485" s="39"/>
    </row>
    <row r="1486">
      <c r="C1486" s="39"/>
      <c r="D1486" s="39"/>
    </row>
    <row r="1487">
      <c r="C1487" s="39"/>
      <c r="D1487" s="39"/>
    </row>
    <row r="1488">
      <c r="C1488" s="39"/>
      <c r="D1488" s="39"/>
    </row>
    <row r="1489">
      <c r="C1489" s="39"/>
      <c r="D1489" s="39"/>
    </row>
    <row r="1490">
      <c r="C1490" s="39"/>
      <c r="D1490" s="39"/>
    </row>
    <row r="1491">
      <c r="C1491" s="39"/>
      <c r="D1491" s="39"/>
    </row>
    <row r="1492">
      <c r="C1492" s="39"/>
      <c r="D1492" s="39"/>
    </row>
    <row r="1493">
      <c r="C1493" s="39"/>
      <c r="D1493" s="39"/>
    </row>
    <row r="1494">
      <c r="C1494" s="39"/>
      <c r="D1494" s="39"/>
    </row>
    <row r="1495">
      <c r="C1495" s="39"/>
      <c r="D1495" s="39"/>
    </row>
    <row r="1496">
      <c r="C1496" s="39"/>
      <c r="D1496" s="39"/>
    </row>
    <row r="1497">
      <c r="C1497" s="39"/>
      <c r="D1497" s="39"/>
    </row>
    <row r="1498">
      <c r="C1498" s="39"/>
      <c r="D1498" s="39"/>
    </row>
    <row r="1499">
      <c r="C1499" s="39"/>
      <c r="D1499" s="39"/>
    </row>
    <row r="1500">
      <c r="C1500" s="39"/>
      <c r="D1500" s="39"/>
    </row>
    <row r="1501">
      <c r="C1501" s="39"/>
      <c r="D1501" s="39"/>
    </row>
    <row r="1502">
      <c r="C1502" s="39"/>
      <c r="D1502" s="39"/>
    </row>
    <row r="1503">
      <c r="C1503" s="39"/>
      <c r="D1503" s="39"/>
    </row>
    <row r="1504">
      <c r="C1504" s="39"/>
      <c r="D1504" s="39"/>
    </row>
    <row r="1505">
      <c r="C1505" s="39"/>
      <c r="D1505" s="39"/>
    </row>
    <row r="1506">
      <c r="C1506" s="39"/>
      <c r="D1506" s="39"/>
    </row>
    <row r="1507">
      <c r="C1507" s="39"/>
      <c r="D1507" s="39"/>
    </row>
    <row r="1508">
      <c r="C1508" s="39"/>
      <c r="D1508" s="39"/>
    </row>
    <row r="1509">
      <c r="C1509" s="39"/>
      <c r="D1509" s="39"/>
    </row>
    <row r="1510">
      <c r="C1510" s="39"/>
      <c r="D1510" s="39"/>
    </row>
    <row r="1511">
      <c r="C1511" s="39"/>
      <c r="D1511" s="39"/>
    </row>
    <row r="1512">
      <c r="C1512" s="39"/>
      <c r="D1512" s="39"/>
    </row>
    <row r="1513">
      <c r="C1513" s="39"/>
      <c r="D1513" s="39"/>
    </row>
    <row r="1514">
      <c r="C1514" s="39"/>
      <c r="D1514" s="39"/>
    </row>
    <row r="1515">
      <c r="C1515" s="39"/>
      <c r="D1515" s="39"/>
    </row>
    <row r="1516">
      <c r="C1516" s="39"/>
      <c r="D1516" s="39"/>
    </row>
    <row r="1517">
      <c r="C1517" s="39"/>
      <c r="D1517" s="39"/>
    </row>
    <row r="1518">
      <c r="C1518" s="39"/>
      <c r="D1518" s="39"/>
    </row>
    <row r="1519">
      <c r="C1519" s="39"/>
      <c r="D1519" s="39"/>
    </row>
    <row r="1520">
      <c r="C1520" s="39"/>
      <c r="D1520" s="39"/>
    </row>
    <row r="1521">
      <c r="C1521" s="39"/>
      <c r="D1521" s="39"/>
    </row>
    <row r="1522">
      <c r="C1522" s="39"/>
      <c r="D1522" s="39"/>
    </row>
    <row r="1523">
      <c r="C1523" s="39"/>
      <c r="D1523" s="39"/>
    </row>
    <row r="1524">
      <c r="C1524" s="39"/>
      <c r="D1524" s="39"/>
    </row>
    <row r="1525">
      <c r="C1525" s="39"/>
      <c r="D1525" s="39"/>
    </row>
    <row r="1526">
      <c r="C1526" s="39"/>
      <c r="D1526" s="39"/>
    </row>
    <row r="1527">
      <c r="C1527" s="39"/>
      <c r="D1527" s="39"/>
    </row>
    <row r="1528">
      <c r="C1528" s="39"/>
      <c r="D1528" s="39"/>
    </row>
    <row r="1529">
      <c r="C1529" s="39"/>
      <c r="D1529" s="39"/>
    </row>
    <row r="1530">
      <c r="C1530" s="39"/>
      <c r="D1530" s="39"/>
    </row>
    <row r="1531">
      <c r="C1531" s="39"/>
      <c r="D1531" s="39"/>
    </row>
    <row r="1532">
      <c r="C1532" s="39"/>
      <c r="D1532" s="39"/>
    </row>
    <row r="1533">
      <c r="C1533" s="39"/>
      <c r="D1533" s="39"/>
    </row>
    <row r="1534">
      <c r="C1534" s="39"/>
      <c r="D1534" s="39"/>
    </row>
    <row r="1535">
      <c r="C1535" s="39"/>
      <c r="D1535" s="39"/>
    </row>
    <row r="1536">
      <c r="C1536" s="39"/>
      <c r="D1536" s="39"/>
    </row>
    <row r="1537">
      <c r="C1537" s="39"/>
      <c r="D1537" s="39"/>
    </row>
    <row r="1538">
      <c r="C1538" s="39"/>
      <c r="D1538" s="39"/>
    </row>
    <row r="1539">
      <c r="C1539" s="39"/>
      <c r="D1539" s="39"/>
    </row>
    <row r="1540">
      <c r="C1540" s="39"/>
      <c r="D1540" s="39"/>
    </row>
    <row r="1541">
      <c r="C1541" s="39"/>
      <c r="D1541" s="39"/>
    </row>
    <row r="1542">
      <c r="C1542" s="39"/>
      <c r="D1542" s="39"/>
    </row>
    <row r="1543">
      <c r="C1543" s="39"/>
      <c r="D1543" s="39"/>
    </row>
    <row r="1544">
      <c r="C1544" s="39"/>
      <c r="D1544" s="39"/>
    </row>
    <row r="1545">
      <c r="C1545" s="39"/>
      <c r="D1545" s="39"/>
    </row>
    <row r="1546">
      <c r="C1546" s="39"/>
      <c r="D1546" s="39"/>
    </row>
    <row r="1547">
      <c r="C1547" s="39"/>
      <c r="D1547" s="39"/>
    </row>
    <row r="1548">
      <c r="C1548" s="39"/>
      <c r="D1548" s="39"/>
    </row>
    <row r="1549">
      <c r="C1549" s="39"/>
      <c r="D1549" s="39"/>
    </row>
    <row r="1550">
      <c r="C1550" s="39"/>
      <c r="D1550" s="39"/>
    </row>
    <row r="1551">
      <c r="C1551" s="39"/>
      <c r="D1551" s="39"/>
    </row>
    <row r="1552">
      <c r="C1552" s="39"/>
      <c r="D1552" s="39"/>
    </row>
    <row r="1553">
      <c r="C1553" s="39"/>
      <c r="D1553" s="39"/>
    </row>
    <row r="1554">
      <c r="C1554" s="39"/>
      <c r="D1554" s="39"/>
    </row>
    <row r="1555">
      <c r="C1555" s="39"/>
      <c r="D1555" s="39"/>
    </row>
    <row r="1556">
      <c r="C1556" s="39"/>
      <c r="D1556" s="39"/>
    </row>
    <row r="1557">
      <c r="C1557" s="39"/>
      <c r="D1557" s="39"/>
    </row>
    <row r="1558">
      <c r="C1558" s="39"/>
      <c r="D1558" s="39"/>
    </row>
    <row r="1559">
      <c r="C1559" s="39"/>
      <c r="D1559" s="39"/>
    </row>
    <row r="1560">
      <c r="C1560" s="39"/>
      <c r="D1560" s="39"/>
    </row>
    <row r="1561">
      <c r="C1561" s="39"/>
      <c r="D1561" s="39"/>
    </row>
    <row r="1562">
      <c r="C1562" s="39"/>
      <c r="D1562" s="39"/>
    </row>
    <row r="1563">
      <c r="C1563" s="39"/>
      <c r="D1563" s="39"/>
    </row>
    <row r="1564">
      <c r="C1564" s="39"/>
      <c r="D1564" s="39"/>
    </row>
    <row r="1565">
      <c r="C1565" s="39"/>
      <c r="D1565" s="39"/>
    </row>
    <row r="1566">
      <c r="C1566" s="39"/>
      <c r="D1566" s="39"/>
    </row>
    <row r="1567">
      <c r="C1567" s="39"/>
      <c r="D1567" s="39"/>
    </row>
    <row r="1568">
      <c r="C1568" s="39"/>
      <c r="D1568" s="39"/>
    </row>
    <row r="1569">
      <c r="C1569" s="39"/>
      <c r="D1569" s="39"/>
    </row>
    <row r="1570">
      <c r="C1570" s="39"/>
      <c r="D1570" s="39"/>
    </row>
    <row r="1571">
      <c r="C1571" s="39"/>
      <c r="D1571" s="39"/>
    </row>
    <row r="1572">
      <c r="C1572" s="39"/>
      <c r="D1572" s="39"/>
    </row>
    <row r="1573">
      <c r="C1573" s="39"/>
      <c r="D1573" s="39"/>
    </row>
    <row r="1574">
      <c r="C1574" s="39"/>
      <c r="D1574" s="39"/>
    </row>
    <row r="1575">
      <c r="C1575" s="39"/>
      <c r="D1575" s="39"/>
    </row>
    <row r="1576">
      <c r="C1576" s="39"/>
      <c r="D1576" s="39"/>
    </row>
    <row r="1577">
      <c r="C1577" s="39"/>
      <c r="D1577" s="39"/>
    </row>
    <row r="1578">
      <c r="C1578" s="39"/>
      <c r="D1578" s="39"/>
    </row>
    <row r="1579">
      <c r="C1579" s="39"/>
      <c r="D1579" s="39"/>
    </row>
    <row r="1580">
      <c r="C1580" s="39"/>
      <c r="D1580" s="39"/>
    </row>
    <row r="1581">
      <c r="C1581" s="39"/>
      <c r="D1581" s="39"/>
    </row>
    <row r="1582">
      <c r="C1582" s="39"/>
      <c r="D1582" s="39"/>
    </row>
    <row r="1583">
      <c r="C1583" s="39"/>
      <c r="D1583" s="39"/>
    </row>
    <row r="1584">
      <c r="C1584" s="39"/>
      <c r="D1584" s="39"/>
    </row>
    <row r="1585">
      <c r="C1585" s="39"/>
      <c r="D1585" s="39"/>
    </row>
    <row r="1586">
      <c r="C1586" s="39"/>
      <c r="D1586" s="39"/>
    </row>
    <row r="1587">
      <c r="C1587" s="39"/>
      <c r="D1587" s="39"/>
    </row>
    <row r="1588">
      <c r="C1588" s="39"/>
      <c r="D1588" s="39"/>
    </row>
    <row r="1589">
      <c r="C1589" s="39"/>
      <c r="D1589" s="39"/>
    </row>
    <row r="1590">
      <c r="C1590" s="39"/>
      <c r="D1590" s="39"/>
    </row>
    <row r="1591">
      <c r="C1591" s="39"/>
      <c r="D1591" s="39"/>
    </row>
    <row r="1592">
      <c r="C1592" s="39"/>
      <c r="D1592" s="39"/>
    </row>
    <row r="1593">
      <c r="C1593" s="39"/>
      <c r="D1593" s="39"/>
    </row>
    <row r="1594">
      <c r="C1594" s="39"/>
      <c r="D1594" s="39"/>
    </row>
    <row r="1595">
      <c r="C1595" s="39"/>
      <c r="D1595" s="39"/>
    </row>
    <row r="1596">
      <c r="C1596" s="39"/>
      <c r="D1596" s="39"/>
    </row>
    <row r="1597">
      <c r="C1597" s="39"/>
      <c r="D1597" s="39"/>
    </row>
    <row r="1598">
      <c r="C1598" s="39"/>
      <c r="D1598" s="39"/>
    </row>
    <row r="1599">
      <c r="C1599" s="39"/>
      <c r="D1599" s="39"/>
    </row>
    <row r="1600">
      <c r="C1600" s="39"/>
      <c r="D1600" s="39"/>
    </row>
    <row r="1601">
      <c r="C1601" s="39"/>
      <c r="D1601" s="39"/>
    </row>
    <row r="1602">
      <c r="C1602" s="39"/>
      <c r="D1602" s="39"/>
    </row>
    <row r="1603">
      <c r="C1603" s="39"/>
      <c r="D1603" s="39"/>
    </row>
    <row r="1604">
      <c r="C1604" s="39"/>
      <c r="D1604" s="39"/>
    </row>
    <row r="1605">
      <c r="C1605" s="39"/>
      <c r="D1605" s="39"/>
    </row>
    <row r="1606">
      <c r="C1606" s="39"/>
      <c r="D1606" s="39"/>
    </row>
    <row r="1607">
      <c r="C1607" s="39"/>
      <c r="D1607" s="39"/>
    </row>
    <row r="1608">
      <c r="C1608" s="39"/>
      <c r="D1608" s="39"/>
    </row>
    <row r="1609">
      <c r="C1609" s="39"/>
      <c r="D1609" s="39"/>
    </row>
    <row r="1610">
      <c r="C1610" s="39"/>
      <c r="D1610" s="39"/>
    </row>
    <row r="1611">
      <c r="C1611" s="39"/>
      <c r="D1611" s="39"/>
    </row>
    <row r="1612">
      <c r="C1612" s="39"/>
      <c r="D1612" s="39"/>
    </row>
    <row r="1613">
      <c r="C1613" s="39"/>
      <c r="D1613" s="39"/>
    </row>
    <row r="1614">
      <c r="C1614" s="39"/>
      <c r="D1614" s="39"/>
    </row>
    <row r="1615">
      <c r="C1615" s="39"/>
      <c r="D1615" s="39"/>
    </row>
    <row r="1616">
      <c r="C1616" s="39"/>
      <c r="D1616" s="39"/>
    </row>
    <row r="1617">
      <c r="C1617" s="39"/>
      <c r="D1617" s="39"/>
    </row>
    <row r="1618">
      <c r="C1618" s="39"/>
      <c r="D1618" s="39"/>
    </row>
    <row r="1619">
      <c r="C1619" s="39"/>
      <c r="D1619" s="39"/>
    </row>
    <row r="1620">
      <c r="C1620" s="39"/>
      <c r="D1620" s="39"/>
    </row>
    <row r="1621">
      <c r="C1621" s="39"/>
      <c r="D1621" s="39"/>
    </row>
    <row r="1622">
      <c r="C1622" s="39"/>
      <c r="D1622" s="39"/>
    </row>
    <row r="1623">
      <c r="C1623" s="39"/>
      <c r="D1623" s="39"/>
    </row>
    <row r="1624">
      <c r="C1624" s="39"/>
      <c r="D1624" s="39"/>
    </row>
    <row r="1625">
      <c r="C1625" s="39"/>
      <c r="D1625" s="39"/>
    </row>
    <row r="1626">
      <c r="C1626" s="39"/>
      <c r="D1626" s="39"/>
    </row>
    <row r="1627">
      <c r="C1627" s="39"/>
      <c r="D1627" s="39"/>
    </row>
    <row r="1628">
      <c r="C1628" s="39"/>
      <c r="D1628" s="39"/>
    </row>
    <row r="1629">
      <c r="C1629" s="39"/>
      <c r="D1629" s="39"/>
    </row>
    <row r="1630">
      <c r="C1630" s="39"/>
      <c r="D1630" s="39"/>
    </row>
    <row r="1631">
      <c r="C1631" s="39"/>
      <c r="D1631" s="39"/>
    </row>
    <row r="1632">
      <c r="C1632" s="39"/>
      <c r="D1632" s="39"/>
    </row>
    <row r="1633">
      <c r="C1633" s="39"/>
      <c r="D1633" s="39"/>
    </row>
    <row r="1634">
      <c r="C1634" s="39"/>
      <c r="D1634" s="39"/>
    </row>
    <row r="1635">
      <c r="C1635" s="39"/>
      <c r="D1635" s="39"/>
    </row>
    <row r="1636">
      <c r="C1636" s="39"/>
      <c r="D1636" s="39"/>
    </row>
    <row r="1637">
      <c r="C1637" s="39"/>
      <c r="D1637" s="39"/>
    </row>
    <row r="1638">
      <c r="C1638" s="39"/>
      <c r="D1638" s="39"/>
    </row>
    <row r="1639">
      <c r="C1639" s="39"/>
      <c r="D1639" s="39"/>
    </row>
    <row r="1640">
      <c r="C1640" s="39"/>
      <c r="D1640" s="39"/>
    </row>
    <row r="1641">
      <c r="C1641" s="39"/>
      <c r="D1641" s="39"/>
    </row>
    <row r="1642">
      <c r="C1642" s="39"/>
      <c r="D1642" s="39"/>
    </row>
    <row r="1643">
      <c r="C1643" s="39"/>
      <c r="D1643" s="39"/>
    </row>
    <row r="1644">
      <c r="C1644" s="39"/>
      <c r="D1644" s="39"/>
    </row>
    <row r="1645">
      <c r="C1645" s="39"/>
      <c r="D1645" s="39"/>
    </row>
    <row r="1646">
      <c r="C1646" s="39"/>
      <c r="D1646" s="39"/>
    </row>
    <row r="1647">
      <c r="C1647" s="39"/>
      <c r="D1647" s="39"/>
    </row>
    <row r="1648">
      <c r="C1648" s="39"/>
      <c r="D1648" s="39"/>
    </row>
    <row r="1649">
      <c r="C1649" s="39"/>
      <c r="D1649" s="39"/>
    </row>
    <row r="1650">
      <c r="C1650" s="39"/>
      <c r="D1650" s="39"/>
    </row>
    <row r="1651">
      <c r="C1651" s="39"/>
      <c r="D1651" s="39"/>
    </row>
    <row r="1652">
      <c r="C1652" s="39"/>
      <c r="D1652" s="39"/>
    </row>
    <row r="1653">
      <c r="C1653" s="39"/>
      <c r="D1653" s="39"/>
    </row>
    <row r="1654">
      <c r="C1654" s="39"/>
      <c r="D1654" s="39"/>
    </row>
    <row r="1655">
      <c r="C1655" s="39"/>
      <c r="D1655" s="39"/>
    </row>
    <row r="1656">
      <c r="C1656" s="39"/>
      <c r="D1656" s="39"/>
    </row>
    <row r="1657">
      <c r="C1657" s="39"/>
      <c r="D1657" s="39"/>
    </row>
    <row r="1658">
      <c r="C1658" s="39"/>
      <c r="D1658" s="39"/>
    </row>
    <row r="1659">
      <c r="C1659" s="39"/>
      <c r="D1659" s="39"/>
    </row>
    <row r="1660">
      <c r="C1660" s="39"/>
      <c r="D1660" s="39"/>
    </row>
    <row r="1661">
      <c r="C1661" s="39"/>
      <c r="D1661" s="39"/>
    </row>
    <row r="1662">
      <c r="C1662" s="39"/>
      <c r="D1662" s="39"/>
    </row>
    <row r="1663">
      <c r="C1663" s="39"/>
      <c r="D1663" s="39"/>
    </row>
    <row r="1664">
      <c r="C1664" s="39"/>
      <c r="D1664" s="39"/>
    </row>
    <row r="1665">
      <c r="C1665" s="39"/>
      <c r="D1665" s="39"/>
    </row>
    <row r="1666">
      <c r="C1666" s="39"/>
      <c r="D1666" s="39"/>
    </row>
    <row r="1667">
      <c r="C1667" s="39"/>
      <c r="D1667" s="39"/>
    </row>
    <row r="1668">
      <c r="C1668" s="39"/>
      <c r="D1668" s="39"/>
    </row>
    <row r="1669">
      <c r="C1669" s="39"/>
      <c r="D1669" s="39"/>
    </row>
    <row r="1670">
      <c r="C1670" s="39"/>
      <c r="D1670" s="39"/>
    </row>
    <row r="1671">
      <c r="C1671" s="39"/>
      <c r="D1671" s="39"/>
    </row>
    <row r="1672">
      <c r="C1672" s="39"/>
      <c r="D1672" s="39"/>
    </row>
    <row r="1673">
      <c r="C1673" s="39"/>
      <c r="D1673" s="39"/>
    </row>
    <row r="1674">
      <c r="C1674" s="39"/>
      <c r="D1674" s="39"/>
    </row>
    <row r="1675">
      <c r="C1675" s="39"/>
      <c r="D1675" s="39"/>
    </row>
    <row r="1676">
      <c r="C1676" s="39"/>
      <c r="D1676" s="39"/>
    </row>
    <row r="1677">
      <c r="C1677" s="39"/>
      <c r="D1677" s="39"/>
    </row>
    <row r="1678">
      <c r="C1678" s="39"/>
      <c r="D1678" s="39"/>
    </row>
    <row r="1679">
      <c r="C1679" s="39"/>
      <c r="D1679" s="39"/>
    </row>
    <row r="1680">
      <c r="C1680" s="39"/>
      <c r="D1680" s="39"/>
    </row>
    <row r="1681">
      <c r="C1681" s="39"/>
      <c r="D1681" s="39"/>
    </row>
    <row r="1682">
      <c r="C1682" s="39"/>
      <c r="D1682" s="39"/>
    </row>
    <row r="1683">
      <c r="C1683" s="39"/>
      <c r="D1683" s="39"/>
    </row>
    <row r="1684">
      <c r="C1684" s="39"/>
      <c r="D1684" s="39"/>
    </row>
    <row r="1685">
      <c r="C1685" s="39"/>
      <c r="D1685" s="39"/>
    </row>
    <row r="1686">
      <c r="C1686" s="39"/>
      <c r="D1686" s="39"/>
    </row>
    <row r="1687">
      <c r="C1687" s="39"/>
      <c r="D1687" s="39"/>
    </row>
    <row r="1688">
      <c r="C1688" s="39"/>
      <c r="D1688" s="39"/>
    </row>
    <row r="1689">
      <c r="C1689" s="39"/>
      <c r="D1689" s="39"/>
    </row>
    <row r="1690">
      <c r="C1690" s="39"/>
      <c r="D1690" s="39"/>
    </row>
    <row r="1691">
      <c r="C1691" s="39"/>
      <c r="D1691" s="39"/>
    </row>
    <row r="1692">
      <c r="C1692" s="39"/>
      <c r="D1692" s="39"/>
    </row>
    <row r="1693">
      <c r="C1693" s="39"/>
      <c r="D1693" s="39"/>
    </row>
    <row r="1694">
      <c r="C1694" s="39"/>
      <c r="D1694" s="39"/>
    </row>
    <row r="1695">
      <c r="C1695" s="39"/>
      <c r="D1695" s="39"/>
    </row>
    <row r="1696">
      <c r="C1696" s="39"/>
      <c r="D1696" s="39"/>
    </row>
    <row r="1697">
      <c r="C1697" s="39"/>
      <c r="D1697" s="39"/>
    </row>
    <row r="1698">
      <c r="C1698" s="39"/>
      <c r="D1698" s="39"/>
    </row>
    <row r="1699">
      <c r="C1699" s="39"/>
      <c r="D1699" s="39"/>
    </row>
    <row r="1700">
      <c r="C1700" s="39"/>
      <c r="D1700" s="39"/>
    </row>
    <row r="1701">
      <c r="C1701" s="39"/>
      <c r="D1701" s="39"/>
    </row>
    <row r="1702">
      <c r="C1702" s="39"/>
      <c r="D1702" s="39"/>
    </row>
    <row r="1703">
      <c r="C1703" s="39"/>
      <c r="D1703" s="39"/>
    </row>
    <row r="1704">
      <c r="C1704" s="39"/>
      <c r="D1704" s="39"/>
    </row>
    <row r="1705">
      <c r="C1705" s="39"/>
      <c r="D1705" s="39"/>
    </row>
    <row r="1706">
      <c r="C1706" s="39"/>
      <c r="D1706" s="39"/>
    </row>
    <row r="1707">
      <c r="C1707" s="39"/>
      <c r="D1707" s="39"/>
    </row>
    <row r="1708">
      <c r="C1708" s="39"/>
      <c r="D1708" s="39"/>
    </row>
    <row r="1709">
      <c r="C1709" s="39"/>
      <c r="D1709" s="39"/>
    </row>
    <row r="1710">
      <c r="C1710" s="39"/>
      <c r="D1710" s="39"/>
    </row>
    <row r="1711">
      <c r="C1711" s="39"/>
      <c r="D1711" s="39"/>
    </row>
    <row r="1712">
      <c r="C1712" s="39"/>
      <c r="D1712" s="39"/>
    </row>
    <row r="1713">
      <c r="C1713" s="39"/>
      <c r="D1713" s="39"/>
    </row>
    <row r="1714">
      <c r="C1714" s="39"/>
      <c r="D1714" s="39"/>
    </row>
    <row r="1715">
      <c r="C1715" s="39"/>
      <c r="D1715" s="39"/>
    </row>
    <row r="1716">
      <c r="C1716" s="39"/>
      <c r="D1716" s="39"/>
    </row>
    <row r="1717">
      <c r="C1717" s="39"/>
      <c r="D1717" s="39"/>
    </row>
    <row r="1718">
      <c r="C1718" s="39"/>
      <c r="D1718" s="39"/>
    </row>
    <row r="1719">
      <c r="C1719" s="39"/>
      <c r="D1719" s="39"/>
    </row>
    <row r="1720">
      <c r="C1720" s="39"/>
      <c r="D1720" s="39"/>
    </row>
    <row r="1721">
      <c r="C1721" s="39"/>
      <c r="D1721" s="39"/>
    </row>
    <row r="1722">
      <c r="C1722" s="39"/>
      <c r="D1722" s="39"/>
    </row>
    <row r="1723">
      <c r="C1723" s="39"/>
      <c r="D1723" s="39"/>
    </row>
    <row r="1724">
      <c r="C1724" s="39"/>
      <c r="D1724" s="39"/>
    </row>
    <row r="1725">
      <c r="C1725" s="39"/>
      <c r="D1725" s="39"/>
    </row>
    <row r="1726">
      <c r="C1726" s="39"/>
      <c r="D1726" s="39"/>
    </row>
    <row r="1727">
      <c r="C1727" s="39"/>
      <c r="D1727" s="39"/>
    </row>
    <row r="1728">
      <c r="C1728" s="39"/>
      <c r="D1728" s="39"/>
    </row>
    <row r="1729">
      <c r="C1729" s="39"/>
      <c r="D1729" s="39"/>
    </row>
    <row r="1730">
      <c r="C1730" s="39"/>
      <c r="D1730" s="39"/>
    </row>
    <row r="1731">
      <c r="C1731" s="39"/>
      <c r="D1731" s="39"/>
    </row>
    <row r="1732">
      <c r="C1732" s="39"/>
      <c r="D1732" s="39"/>
    </row>
    <row r="1733">
      <c r="C1733" s="39"/>
      <c r="D1733" s="39"/>
    </row>
    <row r="1734">
      <c r="C1734" s="39"/>
      <c r="D1734" s="39"/>
    </row>
    <row r="1735">
      <c r="C1735" s="39"/>
      <c r="D1735" s="39"/>
    </row>
    <row r="1736">
      <c r="C1736" s="39"/>
      <c r="D1736" s="39"/>
    </row>
    <row r="1737">
      <c r="C1737" s="39"/>
      <c r="D1737" s="39"/>
    </row>
    <row r="1738">
      <c r="C1738" s="39"/>
      <c r="D1738" s="39"/>
    </row>
    <row r="1739">
      <c r="C1739" s="39"/>
      <c r="D1739" s="39"/>
    </row>
    <row r="1740">
      <c r="C1740" s="39"/>
      <c r="D1740" s="39"/>
    </row>
    <row r="1741">
      <c r="C1741" s="39"/>
      <c r="D1741" s="39"/>
    </row>
    <row r="1742">
      <c r="C1742" s="39"/>
      <c r="D1742" s="39"/>
    </row>
    <row r="1743">
      <c r="C1743" s="39"/>
      <c r="D1743" s="39"/>
    </row>
    <row r="1744">
      <c r="C1744" s="39"/>
      <c r="D1744" s="39"/>
    </row>
    <row r="1745">
      <c r="C1745" s="39"/>
      <c r="D1745" s="39"/>
    </row>
    <row r="1746">
      <c r="C1746" s="39"/>
      <c r="D1746" s="39"/>
    </row>
    <row r="1747">
      <c r="C1747" s="39"/>
      <c r="D1747" s="39"/>
    </row>
    <row r="1748">
      <c r="C1748" s="39"/>
      <c r="D1748" s="39"/>
    </row>
    <row r="1749">
      <c r="C1749" s="39"/>
      <c r="D1749" s="39"/>
    </row>
    <row r="1750">
      <c r="C1750" s="39"/>
      <c r="D1750" s="39"/>
    </row>
    <row r="1751">
      <c r="C1751" s="39"/>
      <c r="D1751" s="39"/>
    </row>
    <row r="1752">
      <c r="C1752" s="39"/>
      <c r="D1752" s="39"/>
    </row>
    <row r="1753">
      <c r="C1753" s="39"/>
      <c r="D1753" s="39"/>
    </row>
    <row r="1754">
      <c r="C1754" s="39"/>
      <c r="D1754" s="39"/>
    </row>
    <row r="1755">
      <c r="C1755" s="39"/>
      <c r="D1755" s="39"/>
    </row>
    <row r="1756">
      <c r="C1756" s="39"/>
      <c r="D1756" s="39"/>
    </row>
    <row r="1757">
      <c r="C1757" s="39"/>
      <c r="D1757" s="39"/>
    </row>
    <row r="1758">
      <c r="C1758" s="39"/>
      <c r="D1758" s="39"/>
    </row>
    <row r="1759">
      <c r="C1759" s="39"/>
      <c r="D1759" s="39"/>
    </row>
    <row r="1760">
      <c r="C1760" s="39"/>
      <c r="D1760" s="39"/>
    </row>
    <row r="1761">
      <c r="C1761" s="39"/>
      <c r="D1761" s="39"/>
    </row>
    <row r="1762">
      <c r="C1762" s="39"/>
      <c r="D1762" s="39"/>
    </row>
    <row r="1763">
      <c r="C1763" s="39"/>
      <c r="D1763" s="39"/>
    </row>
    <row r="1764">
      <c r="C1764" s="39"/>
      <c r="D1764" s="39"/>
    </row>
    <row r="1765">
      <c r="C1765" s="39"/>
      <c r="D1765" s="39"/>
    </row>
    <row r="1766">
      <c r="C1766" s="39"/>
      <c r="D1766" s="39"/>
    </row>
    <row r="1767">
      <c r="C1767" s="39"/>
      <c r="D1767" s="39"/>
    </row>
    <row r="1768">
      <c r="C1768" s="39"/>
      <c r="D1768" s="39"/>
    </row>
    <row r="1769">
      <c r="C1769" s="39"/>
      <c r="D1769" s="39"/>
    </row>
    <row r="1770">
      <c r="C1770" s="39"/>
      <c r="D1770" s="39"/>
    </row>
    <row r="1771">
      <c r="C1771" s="39"/>
      <c r="D1771" s="39"/>
    </row>
    <row r="1772">
      <c r="C1772" s="39"/>
      <c r="D1772" s="39"/>
    </row>
    <row r="1773">
      <c r="C1773" s="39"/>
      <c r="D1773" s="39"/>
    </row>
    <row r="1774">
      <c r="C1774" s="39"/>
      <c r="D1774" s="39"/>
    </row>
    <row r="1775">
      <c r="C1775" s="39"/>
      <c r="D1775" s="39"/>
    </row>
    <row r="1776">
      <c r="C1776" s="39"/>
      <c r="D1776" s="39"/>
    </row>
    <row r="1777">
      <c r="C1777" s="39"/>
      <c r="D1777" s="39"/>
    </row>
    <row r="1778">
      <c r="C1778" s="39"/>
      <c r="D1778" s="39"/>
    </row>
    <row r="1779">
      <c r="C1779" s="39"/>
      <c r="D1779" s="39"/>
    </row>
    <row r="1780">
      <c r="C1780" s="39"/>
      <c r="D1780" s="39"/>
    </row>
    <row r="1781">
      <c r="C1781" s="39"/>
      <c r="D1781" s="39"/>
    </row>
    <row r="1782">
      <c r="C1782" s="39"/>
      <c r="D1782" s="39"/>
    </row>
    <row r="1783">
      <c r="C1783" s="39"/>
      <c r="D1783" s="39"/>
    </row>
    <row r="1784">
      <c r="C1784" s="39"/>
      <c r="D1784" s="39"/>
    </row>
    <row r="1785">
      <c r="C1785" s="39"/>
      <c r="D1785" s="39"/>
    </row>
    <row r="1786">
      <c r="C1786" s="39"/>
      <c r="D1786" s="39"/>
    </row>
    <row r="1787">
      <c r="C1787" s="39"/>
      <c r="D1787" s="39"/>
    </row>
    <row r="1788">
      <c r="C1788" s="39"/>
      <c r="D1788" s="39"/>
    </row>
    <row r="1789">
      <c r="C1789" s="39"/>
      <c r="D1789" s="39"/>
    </row>
    <row r="1790">
      <c r="C1790" s="39"/>
      <c r="D1790" s="39"/>
    </row>
    <row r="1791">
      <c r="C1791" s="39"/>
      <c r="D1791" s="39"/>
    </row>
    <row r="1792">
      <c r="C1792" s="39"/>
      <c r="D1792" s="39"/>
    </row>
    <row r="1793">
      <c r="C1793" s="39"/>
      <c r="D1793" s="39"/>
    </row>
    <row r="1794">
      <c r="C1794" s="39"/>
      <c r="D1794" s="39"/>
    </row>
    <row r="1795">
      <c r="C1795" s="39"/>
      <c r="D1795" s="39"/>
    </row>
    <row r="1796">
      <c r="C1796" s="39"/>
      <c r="D1796" s="39"/>
    </row>
    <row r="1797">
      <c r="C1797" s="39"/>
      <c r="D1797" s="39"/>
    </row>
    <row r="1798">
      <c r="C1798" s="39"/>
      <c r="D1798" s="39"/>
    </row>
    <row r="1799">
      <c r="C1799" s="39"/>
      <c r="D1799" s="39"/>
    </row>
    <row r="1800">
      <c r="C1800" s="39"/>
      <c r="D1800" s="39"/>
    </row>
    <row r="1801">
      <c r="C1801" s="39"/>
      <c r="D1801" s="39"/>
    </row>
    <row r="1802">
      <c r="C1802" s="39"/>
      <c r="D1802" s="39"/>
    </row>
    <row r="1803">
      <c r="C1803" s="39"/>
      <c r="D1803" s="39"/>
    </row>
    <row r="1804">
      <c r="C1804" s="39"/>
      <c r="D1804" s="39"/>
    </row>
    <row r="1805">
      <c r="C1805" s="39"/>
      <c r="D1805" s="39"/>
    </row>
    <row r="1806">
      <c r="C1806" s="39"/>
      <c r="D1806" s="39"/>
    </row>
    <row r="1807">
      <c r="C1807" s="39"/>
      <c r="D1807" s="39"/>
    </row>
    <row r="1808">
      <c r="C1808" s="39"/>
      <c r="D1808" s="39"/>
    </row>
    <row r="1809">
      <c r="C1809" s="39"/>
      <c r="D1809" s="39"/>
    </row>
    <row r="1810">
      <c r="C1810" s="39"/>
      <c r="D1810" s="39"/>
    </row>
    <row r="1811">
      <c r="C1811" s="39"/>
      <c r="D1811" s="39"/>
    </row>
    <row r="1812">
      <c r="C1812" s="39"/>
      <c r="D1812" s="39"/>
    </row>
    <row r="1813">
      <c r="C1813" s="39"/>
      <c r="D1813" s="39"/>
    </row>
    <row r="1814">
      <c r="C1814" s="39"/>
      <c r="D1814" s="39"/>
    </row>
    <row r="1815">
      <c r="C1815" s="39"/>
      <c r="D1815" s="39"/>
    </row>
    <row r="1816">
      <c r="C1816" s="39"/>
      <c r="D1816" s="39"/>
    </row>
    <row r="1817">
      <c r="C1817" s="39"/>
      <c r="D1817" s="39"/>
    </row>
    <row r="1818">
      <c r="C1818" s="39"/>
      <c r="D1818" s="39"/>
    </row>
    <row r="1819">
      <c r="C1819" s="39"/>
      <c r="D1819" s="39"/>
    </row>
    <row r="1820">
      <c r="C1820" s="39"/>
      <c r="D1820" s="39"/>
    </row>
    <row r="1821">
      <c r="C1821" s="39"/>
      <c r="D1821" s="39"/>
    </row>
    <row r="1822">
      <c r="C1822" s="39"/>
      <c r="D1822" s="39"/>
    </row>
    <row r="1823">
      <c r="C1823" s="39"/>
      <c r="D1823" s="39"/>
    </row>
    <row r="1824">
      <c r="C1824" s="39"/>
      <c r="D1824" s="39"/>
    </row>
    <row r="1825">
      <c r="C1825" s="39"/>
      <c r="D1825" s="39"/>
    </row>
    <row r="1826">
      <c r="C1826" s="39"/>
      <c r="D1826" s="39"/>
    </row>
    <row r="1827">
      <c r="C1827" s="39"/>
      <c r="D1827" s="39"/>
    </row>
    <row r="1828">
      <c r="C1828" s="39"/>
      <c r="D1828" s="39"/>
    </row>
    <row r="1829">
      <c r="C1829" s="39"/>
      <c r="D1829" s="39"/>
    </row>
    <row r="1830">
      <c r="C1830" s="39"/>
      <c r="D1830" s="39"/>
    </row>
    <row r="1831">
      <c r="C1831" s="39"/>
      <c r="D1831" s="39"/>
    </row>
    <row r="1832">
      <c r="C1832" s="39"/>
      <c r="D1832" s="39"/>
    </row>
    <row r="1833">
      <c r="C1833" s="39"/>
      <c r="D1833" s="39"/>
    </row>
    <row r="1834">
      <c r="C1834" s="39"/>
      <c r="D1834" s="39"/>
    </row>
    <row r="1835">
      <c r="C1835" s="39"/>
      <c r="D1835" s="39"/>
    </row>
    <row r="1836">
      <c r="C1836" s="39"/>
      <c r="D1836" s="39"/>
    </row>
    <row r="1837">
      <c r="C1837" s="39"/>
      <c r="D1837" s="39"/>
    </row>
    <row r="1838">
      <c r="C1838" s="39"/>
      <c r="D1838" s="39"/>
    </row>
    <row r="1839">
      <c r="C1839" s="39"/>
      <c r="D1839" s="39"/>
    </row>
    <row r="1840">
      <c r="C1840" s="39"/>
      <c r="D1840" s="39"/>
    </row>
    <row r="1841">
      <c r="C1841" s="39"/>
      <c r="D1841" s="39"/>
    </row>
    <row r="1842">
      <c r="C1842" s="39"/>
      <c r="D1842" s="39"/>
    </row>
    <row r="1843">
      <c r="C1843" s="39"/>
      <c r="D1843" s="39"/>
    </row>
    <row r="1844">
      <c r="C1844" s="39"/>
      <c r="D1844" s="39"/>
    </row>
    <row r="1845">
      <c r="C1845" s="39"/>
      <c r="D1845" s="39"/>
    </row>
    <row r="1846">
      <c r="C1846" s="39"/>
      <c r="D1846" s="39"/>
    </row>
    <row r="1847">
      <c r="C1847" s="39"/>
      <c r="D1847" s="39"/>
    </row>
    <row r="1848">
      <c r="C1848" s="39"/>
      <c r="D1848" s="39"/>
    </row>
    <row r="1849">
      <c r="C1849" s="39"/>
      <c r="D1849" s="39"/>
    </row>
    <row r="1850">
      <c r="C1850" s="39"/>
      <c r="D1850" s="39"/>
    </row>
    <row r="1851">
      <c r="C1851" s="39"/>
      <c r="D1851" s="39"/>
    </row>
    <row r="1852">
      <c r="C1852" s="39"/>
      <c r="D1852" s="39"/>
    </row>
    <row r="1853">
      <c r="C1853" s="39"/>
      <c r="D1853" s="39"/>
    </row>
    <row r="1854">
      <c r="C1854" s="39"/>
      <c r="D1854" s="39"/>
    </row>
    <row r="1855">
      <c r="C1855" s="39"/>
      <c r="D1855" s="39"/>
    </row>
    <row r="1856">
      <c r="C1856" s="39"/>
      <c r="D1856" s="39"/>
    </row>
    <row r="1857">
      <c r="C1857" s="39"/>
      <c r="D1857" s="39"/>
    </row>
    <row r="1858">
      <c r="C1858" s="39"/>
      <c r="D1858" s="39"/>
    </row>
    <row r="1859">
      <c r="C1859" s="39"/>
      <c r="D1859" s="39"/>
    </row>
    <row r="1860">
      <c r="C1860" s="39"/>
      <c r="D1860" s="39"/>
    </row>
    <row r="1861">
      <c r="C1861" s="39"/>
      <c r="D1861" s="39"/>
    </row>
    <row r="1862">
      <c r="C1862" s="39"/>
      <c r="D1862" s="39"/>
    </row>
    <row r="1863">
      <c r="C1863" s="39"/>
      <c r="D1863" s="39"/>
    </row>
    <row r="1864">
      <c r="C1864" s="39"/>
      <c r="D1864" s="39"/>
    </row>
    <row r="1865">
      <c r="C1865" s="39"/>
      <c r="D1865" s="39"/>
    </row>
    <row r="1866">
      <c r="C1866" s="39"/>
      <c r="D1866" s="39"/>
    </row>
    <row r="1867">
      <c r="C1867" s="39"/>
      <c r="D1867" s="39"/>
    </row>
    <row r="1868">
      <c r="C1868" s="39"/>
      <c r="D1868" s="39"/>
    </row>
    <row r="1869">
      <c r="C1869" s="39"/>
      <c r="D1869" s="39"/>
    </row>
    <row r="1870">
      <c r="C1870" s="39"/>
      <c r="D1870" s="39"/>
    </row>
    <row r="1871">
      <c r="C1871" s="39"/>
      <c r="D1871" s="39"/>
    </row>
    <row r="1872">
      <c r="C1872" s="39"/>
      <c r="D1872" s="39"/>
    </row>
    <row r="1873">
      <c r="C1873" s="39"/>
      <c r="D1873" s="39"/>
    </row>
    <row r="1874">
      <c r="C1874" s="39"/>
      <c r="D1874" s="39"/>
    </row>
    <row r="1875">
      <c r="C1875" s="39"/>
      <c r="D1875" s="39"/>
    </row>
    <row r="1876">
      <c r="C1876" s="39"/>
      <c r="D1876" s="39"/>
    </row>
    <row r="1877">
      <c r="C1877" s="39"/>
      <c r="D1877" s="39"/>
    </row>
    <row r="1878">
      <c r="C1878" s="39"/>
      <c r="D1878" s="39"/>
    </row>
    <row r="1879">
      <c r="C1879" s="39"/>
      <c r="D1879" s="39"/>
    </row>
    <row r="1880">
      <c r="C1880" s="39"/>
      <c r="D1880" s="39"/>
    </row>
    <row r="1881">
      <c r="C1881" s="39"/>
      <c r="D1881" s="39"/>
    </row>
    <row r="1882">
      <c r="C1882" s="39"/>
      <c r="D1882" s="39"/>
    </row>
    <row r="1883">
      <c r="C1883" s="39"/>
      <c r="D1883" s="39"/>
    </row>
    <row r="1884">
      <c r="C1884" s="39"/>
      <c r="D1884" s="39"/>
    </row>
    <row r="1885">
      <c r="C1885" s="39"/>
      <c r="D1885" s="39"/>
    </row>
    <row r="1886">
      <c r="C1886" s="39"/>
      <c r="D1886" s="39"/>
    </row>
    <row r="1887">
      <c r="C1887" s="39"/>
      <c r="D1887" s="39"/>
    </row>
    <row r="1888">
      <c r="C1888" s="39"/>
      <c r="D1888" s="39"/>
    </row>
    <row r="1889">
      <c r="C1889" s="39"/>
      <c r="D1889" s="39"/>
    </row>
    <row r="1890">
      <c r="C1890" s="39"/>
      <c r="D1890" s="39"/>
    </row>
    <row r="1891">
      <c r="C1891" s="39"/>
      <c r="D1891" s="39"/>
    </row>
    <row r="1892">
      <c r="C1892" s="39"/>
      <c r="D1892" s="39"/>
    </row>
    <row r="1893">
      <c r="C1893" s="39"/>
      <c r="D1893" s="39"/>
    </row>
    <row r="1894">
      <c r="C1894" s="39"/>
      <c r="D1894" s="39"/>
    </row>
    <row r="1895">
      <c r="C1895" s="39"/>
      <c r="D1895" s="39"/>
    </row>
    <row r="1896">
      <c r="C1896" s="39"/>
      <c r="D1896" s="39"/>
    </row>
    <row r="1897">
      <c r="C1897" s="39"/>
      <c r="D1897" s="39"/>
    </row>
    <row r="1898">
      <c r="C1898" s="39"/>
      <c r="D1898" s="39"/>
    </row>
    <row r="1899">
      <c r="C1899" s="39"/>
      <c r="D1899" s="39"/>
    </row>
    <row r="1900">
      <c r="C1900" s="39"/>
      <c r="D1900" s="39"/>
    </row>
    <row r="1901">
      <c r="C1901" s="39"/>
      <c r="D1901" s="39"/>
    </row>
    <row r="1902">
      <c r="C1902" s="39"/>
      <c r="D1902" s="39"/>
    </row>
    <row r="1903">
      <c r="C1903" s="39"/>
      <c r="D1903" s="39"/>
    </row>
    <row r="1904">
      <c r="C1904" s="39"/>
      <c r="D1904" s="39"/>
    </row>
    <row r="1905">
      <c r="C1905" s="39"/>
      <c r="D1905" s="39"/>
    </row>
    <row r="1906">
      <c r="C1906" s="39"/>
      <c r="D1906" s="39"/>
    </row>
    <row r="1907">
      <c r="C1907" s="39"/>
      <c r="D1907" s="39"/>
    </row>
    <row r="1908">
      <c r="C1908" s="39"/>
      <c r="D1908" s="39"/>
    </row>
    <row r="1909">
      <c r="C1909" s="39"/>
      <c r="D1909" s="39"/>
    </row>
    <row r="1910">
      <c r="C1910" s="39"/>
      <c r="D1910" s="39"/>
    </row>
    <row r="1911">
      <c r="C1911" s="39"/>
      <c r="D1911" s="39"/>
    </row>
    <row r="1912">
      <c r="C1912" s="39"/>
      <c r="D1912" s="39"/>
    </row>
    <row r="1913">
      <c r="C1913" s="39"/>
      <c r="D1913" s="39"/>
    </row>
    <row r="1914">
      <c r="C1914" s="39"/>
      <c r="D1914" s="39"/>
    </row>
    <row r="1915">
      <c r="C1915" s="39"/>
      <c r="D1915" s="39"/>
    </row>
    <row r="1916">
      <c r="C1916" s="39"/>
      <c r="D1916" s="39"/>
    </row>
    <row r="1917">
      <c r="C1917" s="39"/>
      <c r="D1917" s="39"/>
    </row>
    <row r="1918">
      <c r="C1918" s="39"/>
      <c r="D1918" s="39"/>
    </row>
    <row r="1919">
      <c r="C1919" s="39"/>
      <c r="D1919" s="39"/>
    </row>
    <row r="1920">
      <c r="C1920" s="39"/>
      <c r="D1920" s="39"/>
    </row>
    <row r="1921">
      <c r="C1921" s="39"/>
      <c r="D1921" s="39"/>
    </row>
    <row r="1922">
      <c r="C1922" s="39"/>
      <c r="D1922" s="39"/>
    </row>
    <row r="1923">
      <c r="C1923" s="39"/>
      <c r="D1923" s="39"/>
    </row>
    <row r="1924">
      <c r="C1924" s="39"/>
      <c r="D1924" s="39"/>
    </row>
    <row r="1925">
      <c r="C1925" s="39"/>
      <c r="D1925" s="39"/>
    </row>
    <row r="1926">
      <c r="C1926" s="39"/>
      <c r="D1926" s="39"/>
    </row>
    <row r="1927">
      <c r="C1927" s="39"/>
      <c r="D1927" s="39"/>
    </row>
    <row r="1928">
      <c r="C1928" s="39"/>
      <c r="D1928" s="39"/>
    </row>
    <row r="1929">
      <c r="C1929" s="39"/>
      <c r="D1929" s="39"/>
    </row>
    <row r="1930">
      <c r="C1930" s="39"/>
      <c r="D1930" s="39"/>
    </row>
    <row r="1931">
      <c r="C1931" s="39"/>
      <c r="D1931" s="39"/>
    </row>
    <row r="1932">
      <c r="C1932" s="39"/>
      <c r="D1932" s="39"/>
    </row>
    <row r="1933">
      <c r="C1933" s="39"/>
      <c r="D1933" s="39"/>
    </row>
    <row r="1934">
      <c r="C1934" s="39"/>
      <c r="D1934" s="39"/>
    </row>
    <row r="1935">
      <c r="C1935" s="39"/>
      <c r="D1935" s="39"/>
    </row>
    <row r="1936">
      <c r="C1936" s="39"/>
      <c r="D1936" s="39"/>
    </row>
    <row r="1937">
      <c r="C1937" s="39"/>
      <c r="D1937" s="39"/>
    </row>
    <row r="1938">
      <c r="C1938" s="39"/>
      <c r="D1938" s="39"/>
    </row>
    <row r="1939">
      <c r="C1939" s="39"/>
      <c r="D1939" s="39"/>
    </row>
    <row r="1940">
      <c r="C1940" s="39"/>
      <c r="D1940" s="39"/>
    </row>
    <row r="1941">
      <c r="C1941" s="39"/>
      <c r="D1941" s="39"/>
    </row>
    <row r="1942">
      <c r="C1942" s="39"/>
      <c r="D1942" s="39"/>
    </row>
    <row r="1943">
      <c r="C1943" s="39"/>
      <c r="D1943" s="39"/>
    </row>
    <row r="1944">
      <c r="C1944" s="39"/>
      <c r="D1944" s="39"/>
    </row>
    <row r="1945">
      <c r="C1945" s="39"/>
      <c r="D1945" s="39"/>
    </row>
    <row r="1946">
      <c r="C1946" s="39"/>
      <c r="D1946" s="39"/>
    </row>
    <row r="1947">
      <c r="C1947" s="39"/>
      <c r="D1947" s="39"/>
    </row>
    <row r="1948">
      <c r="C1948" s="39"/>
      <c r="D1948" s="39"/>
    </row>
    <row r="1949">
      <c r="C1949" s="39"/>
      <c r="D1949" s="39"/>
    </row>
    <row r="1950">
      <c r="C1950" s="39"/>
      <c r="D1950" s="39"/>
    </row>
    <row r="1951">
      <c r="C1951" s="39"/>
      <c r="D1951" s="39"/>
    </row>
    <row r="1952">
      <c r="C1952" s="39"/>
      <c r="D1952" s="39"/>
    </row>
    <row r="1953">
      <c r="C1953" s="39"/>
      <c r="D1953" s="39"/>
    </row>
    <row r="1954">
      <c r="C1954" s="39"/>
      <c r="D1954" s="39"/>
    </row>
    <row r="1955">
      <c r="C1955" s="39"/>
      <c r="D1955" s="39"/>
    </row>
    <row r="1956">
      <c r="C1956" s="39"/>
      <c r="D1956" s="39"/>
    </row>
    <row r="1957">
      <c r="C1957" s="39"/>
      <c r="D1957" s="39"/>
    </row>
    <row r="1958">
      <c r="C1958" s="39"/>
      <c r="D1958" s="39"/>
    </row>
    <row r="1959">
      <c r="C1959" s="39"/>
      <c r="D1959" s="39"/>
    </row>
    <row r="1960">
      <c r="C1960" s="39"/>
      <c r="D1960" s="39"/>
    </row>
    <row r="1961">
      <c r="C1961" s="39"/>
      <c r="D1961" s="39"/>
    </row>
    <row r="1962">
      <c r="C1962" s="39"/>
      <c r="D1962" s="39"/>
    </row>
    <row r="1963">
      <c r="C1963" s="39"/>
      <c r="D1963" s="39"/>
    </row>
    <row r="1964">
      <c r="C1964" s="39"/>
      <c r="D1964" s="39"/>
    </row>
    <row r="1965">
      <c r="C1965" s="39"/>
      <c r="D1965" s="39"/>
    </row>
    <row r="1966">
      <c r="C1966" s="39"/>
      <c r="D1966" s="39"/>
    </row>
    <row r="1967">
      <c r="C1967" s="39"/>
      <c r="D1967" s="39"/>
    </row>
    <row r="1968">
      <c r="C1968" s="39"/>
      <c r="D1968" s="39"/>
    </row>
    <row r="1969">
      <c r="C1969" s="39"/>
      <c r="D1969" s="39"/>
    </row>
    <row r="1970">
      <c r="C1970" s="39"/>
      <c r="D1970" s="39"/>
    </row>
    <row r="1971">
      <c r="C1971" s="39"/>
      <c r="D1971" s="39"/>
    </row>
    <row r="1972">
      <c r="C1972" s="39"/>
      <c r="D1972" s="39"/>
    </row>
    <row r="1973">
      <c r="C1973" s="39"/>
      <c r="D1973" s="39"/>
    </row>
    <row r="1974">
      <c r="C1974" s="39"/>
      <c r="D1974" s="39"/>
    </row>
    <row r="1975">
      <c r="C1975" s="39"/>
      <c r="D1975" s="39"/>
    </row>
    <row r="1976">
      <c r="C1976" s="39"/>
      <c r="D1976" s="39"/>
    </row>
    <row r="1977">
      <c r="C1977" s="39"/>
      <c r="D1977" s="39"/>
    </row>
    <row r="1978">
      <c r="C1978" s="39"/>
      <c r="D1978" s="39"/>
    </row>
    <row r="1979">
      <c r="C1979" s="39"/>
      <c r="D1979" s="39"/>
    </row>
    <row r="1980">
      <c r="C1980" s="39"/>
      <c r="D1980" s="39"/>
    </row>
    <row r="1981">
      <c r="C1981" s="39"/>
      <c r="D1981" s="39"/>
    </row>
    <row r="1982">
      <c r="C1982" s="39"/>
      <c r="D1982" s="39"/>
    </row>
    <row r="1983">
      <c r="C1983" s="39"/>
      <c r="D1983" s="39"/>
    </row>
    <row r="1984">
      <c r="C1984" s="39"/>
      <c r="D1984" s="39"/>
    </row>
    <row r="1985">
      <c r="C1985" s="39"/>
      <c r="D1985" s="39"/>
    </row>
    <row r="1986">
      <c r="C1986" s="39"/>
      <c r="D1986" s="39"/>
    </row>
    <row r="1987">
      <c r="C1987" s="39"/>
      <c r="D1987" s="39"/>
    </row>
    <row r="1988">
      <c r="C1988" s="39"/>
      <c r="D1988" s="39"/>
    </row>
    <row r="1989">
      <c r="C1989" s="39"/>
      <c r="D1989" s="39"/>
    </row>
    <row r="1990">
      <c r="C1990" s="39"/>
      <c r="D1990" s="39"/>
    </row>
    <row r="1991">
      <c r="C1991" s="39"/>
      <c r="D1991" s="39"/>
    </row>
    <row r="1992">
      <c r="C1992" s="39"/>
      <c r="D1992" s="39"/>
    </row>
    <row r="1993">
      <c r="C1993" s="39"/>
      <c r="D1993" s="39"/>
    </row>
    <row r="1994">
      <c r="C1994" s="39"/>
      <c r="D1994" s="39"/>
    </row>
    <row r="1995">
      <c r="C1995" s="39"/>
      <c r="D1995" s="39"/>
    </row>
    <row r="1996">
      <c r="C1996" s="39"/>
      <c r="D1996" s="39"/>
    </row>
    <row r="1997">
      <c r="C1997" s="39"/>
      <c r="D1997" s="39"/>
    </row>
    <row r="1998">
      <c r="C1998" s="39"/>
      <c r="D1998" s="39"/>
    </row>
    <row r="1999">
      <c r="C1999" s="39"/>
      <c r="D1999" s="39"/>
    </row>
    <row r="2000">
      <c r="C2000" s="39"/>
      <c r="D2000" s="39"/>
    </row>
  </sheetData>
  <autoFilter ref="$E$1:$E$10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5"/>
  </cols>
  <sheetData>
    <row r="1">
      <c r="A1" s="40" t="s">
        <v>1307</v>
      </c>
      <c r="B1" s="40" t="s">
        <v>1308</v>
      </c>
      <c r="C1" s="40" t="s">
        <v>1309</v>
      </c>
    </row>
    <row r="2">
      <c r="A2" s="41">
        <v>1930.0</v>
      </c>
      <c r="B2" s="42" t="s">
        <v>679</v>
      </c>
      <c r="C2" s="43">
        <v>5.0</v>
      </c>
    </row>
    <row r="3">
      <c r="A3" s="41">
        <v>1930.0</v>
      </c>
      <c r="B3" s="42" t="s">
        <v>778</v>
      </c>
      <c r="C3" s="43">
        <v>3.0</v>
      </c>
    </row>
    <row r="4">
      <c r="A4" s="41">
        <v>1930.0</v>
      </c>
      <c r="B4" s="42" t="s">
        <v>645</v>
      </c>
      <c r="C4" s="43">
        <v>2.0</v>
      </c>
    </row>
    <row r="5">
      <c r="A5" s="41">
        <v>1930.0</v>
      </c>
      <c r="B5" s="42" t="s">
        <v>917</v>
      </c>
      <c r="C5" s="43">
        <v>2.0</v>
      </c>
    </row>
    <row r="6">
      <c r="A6" s="41">
        <v>1930.0</v>
      </c>
      <c r="B6" s="42" t="s">
        <v>1310</v>
      </c>
      <c r="C6" s="43">
        <v>2.0</v>
      </c>
    </row>
    <row r="7">
      <c r="A7" s="41">
        <v>1930.0</v>
      </c>
      <c r="B7" s="42" t="s">
        <v>649</v>
      </c>
      <c r="C7" s="43">
        <v>1.0</v>
      </c>
    </row>
    <row r="8">
      <c r="A8" s="41">
        <v>1950.0</v>
      </c>
      <c r="B8" s="40" t="s">
        <v>1311</v>
      </c>
      <c r="C8" s="43">
        <v>5.0</v>
      </c>
    </row>
    <row r="9">
      <c r="A9" s="41">
        <v>1950.0</v>
      </c>
      <c r="B9" s="42" t="s">
        <v>53</v>
      </c>
      <c r="C9" s="43">
        <v>4.0</v>
      </c>
    </row>
    <row r="10">
      <c r="A10" s="41">
        <v>1950.0</v>
      </c>
      <c r="B10" s="42" t="s">
        <v>671</v>
      </c>
      <c r="C10" s="43">
        <v>3.0</v>
      </c>
    </row>
    <row r="11">
      <c r="A11" s="41">
        <v>1950.0</v>
      </c>
      <c r="B11" s="42" t="s">
        <v>361</v>
      </c>
      <c r="C11" s="43">
        <v>1.0</v>
      </c>
    </row>
    <row r="12">
      <c r="A12" s="41">
        <v>1950.0</v>
      </c>
      <c r="B12" s="42" t="s">
        <v>763</v>
      </c>
      <c r="C12" s="43">
        <v>1.0</v>
      </c>
    </row>
    <row r="13">
      <c r="A13" s="41">
        <v>1950.0</v>
      </c>
      <c r="B13" s="42" t="s">
        <v>980</v>
      </c>
      <c r="C13" s="43">
        <v>1.0</v>
      </c>
    </row>
    <row r="14">
      <c r="A14" s="41">
        <v>1954.0</v>
      </c>
      <c r="B14" s="40" t="s">
        <v>155</v>
      </c>
      <c r="C14" s="41">
        <v>4.0</v>
      </c>
    </row>
    <row r="15">
      <c r="A15" s="41">
        <v>1954.0</v>
      </c>
      <c r="B15" s="40" t="s">
        <v>1311</v>
      </c>
      <c r="C15" s="41">
        <v>4.0</v>
      </c>
    </row>
    <row r="16">
      <c r="A16" s="41">
        <v>1954.0</v>
      </c>
      <c r="B16" s="40" t="s">
        <v>1312</v>
      </c>
      <c r="C16" s="41">
        <v>3.0</v>
      </c>
    </row>
    <row r="17">
      <c r="A17" s="41">
        <v>1954.0</v>
      </c>
      <c r="B17" s="40" t="s">
        <v>671</v>
      </c>
      <c r="C17" s="41">
        <v>2.0</v>
      </c>
    </row>
    <row r="18">
      <c r="A18" s="41">
        <v>1954.0</v>
      </c>
      <c r="B18" s="40" t="s">
        <v>724</v>
      </c>
      <c r="C18" s="41">
        <v>2.0</v>
      </c>
    </row>
    <row r="19">
      <c r="A19" s="41">
        <v>1954.0</v>
      </c>
      <c r="B19" s="40" t="s">
        <v>980</v>
      </c>
      <c r="C19" s="41">
        <v>1.0</v>
      </c>
    </row>
    <row r="20">
      <c r="A20" s="41">
        <v>1954.0</v>
      </c>
      <c r="B20" s="40" t="s">
        <v>565</v>
      </c>
      <c r="C20" s="41">
        <v>1.0</v>
      </c>
    </row>
    <row r="21">
      <c r="A21" s="41">
        <v>1962.0</v>
      </c>
      <c r="B21" s="40" t="s">
        <v>661</v>
      </c>
      <c r="C21" s="41">
        <v>2.0</v>
      </c>
    </row>
    <row r="22">
      <c r="A22" s="41">
        <v>1962.0</v>
      </c>
      <c r="B22" s="40" t="s">
        <v>792</v>
      </c>
      <c r="C22" s="41">
        <v>1.0</v>
      </c>
    </row>
    <row r="23">
      <c r="A23" s="41">
        <v>1962.0</v>
      </c>
      <c r="B23" s="40" t="s">
        <v>1313</v>
      </c>
      <c r="C23" s="41">
        <v>1.0</v>
      </c>
    </row>
    <row r="24">
      <c r="A24" s="41">
        <v>1966.0</v>
      </c>
      <c r="B24" s="40" t="s">
        <v>1032</v>
      </c>
      <c r="C24" s="41">
        <v>1.0</v>
      </c>
    </row>
    <row r="25">
      <c r="A25" s="41">
        <v>1966.0</v>
      </c>
      <c r="B25" s="40" t="s">
        <v>735</v>
      </c>
      <c r="C25" s="41">
        <v>1.0</v>
      </c>
    </row>
    <row r="26">
      <c r="A26" s="41">
        <v>1970.0</v>
      </c>
      <c r="B26" s="40" t="s">
        <v>562</v>
      </c>
      <c r="C26" s="41">
        <v>1.0</v>
      </c>
    </row>
    <row r="27">
      <c r="A27" s="41">
        <v>1970.0</v>
      </c>
      <c r="B27" s="40" t="s">
        <v>709</v>
      </c>
      <c r="C27" s="41">
        <v>1.0</v>
      </c>
    </row>
    <row r="28">
      <c r="A28" s="41">
        <v>1970.0</v>
      </c>
      <c r="B28" s="40" t="s">
        <v>1225</v>
      </c>
      <c r="C28" s="41">
        <v>1.0</v>
      </c>
    </row>
    <row r="29">
      <c r="A29" s="41">
        <v>1970.0</v>
      </c>
      <c r="B29" s="40" t="s">
        <v>792</v>
      </c>
      <c r="C29" s="41">
        <v>1.0</v>
      </c>
    </row>
    <row r="30">
      <c r="A30" s="41">
        <v>1974.0</v>
      </c>
      <c r="B30" s="40" t="s">
        <v>1040</v>
      </c>
      <c r="C30" s="41">
        <v>1.0</v>
      </c>
    </row>
    <row r="31">
      <c r="A31" s="41">
        <v>1986.0</v>
      </c>
      <c r="B31" s="40" t="s">
        <v>1314</v>
      </c>
      <c r="C31" s="41">
        <v>1.0</v>
      </c>
    </row>
    <row r="32">
      <c r="A32" s="41">
        <v>1986.0</v>
      </c>
      <c r="B32" s="40" t="s">
        <v>121</v>
      </c>
      <c r="C32" s="41">
        <v>1.0</v>
      </c>
    </row>
    <row r="33">
      <c r="A33" s="41">
        <v>1990.0</v>
      </c>
      <c r="B33" s="40" t="s">
        <v>208</v>
      </c>
      <c r="C33" s="41">
        <v>1.0</v>
      </c>
    </row>
    <row r="34">
      <c r="A34" s="41">
        <v>1990.0</v>
      </c>
      <c r="B34" s="40" t="s">
        <v>1000</v>
      </c>
      <c r="C34" s="41">
        <v>1.0</v>
      </c>
    </row>
    <row r="35">
      <c r="A35" s="41">
        <v>2002.0</v>
      </c>
      <c r="B35" s="40" t="s">
        <v>221</v>
      </c>
      <c r="C35" s="41">
        <v>1.0</v>
      </c>
    </row>
    <row r="36">
      <c r="A36" s="41">
        <v>2002.0</v>
      </c>
      <c r="B36" s="40" t="s">
        <v>1043</v>
      </c>
      <c r="C36" s="41">
        <v>1.0</v>
      </c>
    </row>
    <row r="37">
      <c r="A37" s="41">
        <v>2002.0</v>
      </c>
      <c r="B37" s="40" t="s">
        <v>249</v>
      </c>
      <c r="C37" s="41">
        <v>1.0</v>
      </c>
    </row>
    <row r="38">
      <c r="A38" s="41">
        <v>2002.0</v>
      </c>
      <c r="B38" s="40" t="s">
        <v>95</v>
      </c>
      <c r="C38" s="41">
        <v>1.0</v>
      </c>
    </row>
    <row r="39">
      <c r="A39" s="41">
        <v>2010.0</v>
      </c>
      <c r="B39" s="40" t="s">
        <v>249</v>
      </c>
      <c r="C39" s="41">
        <v>5.0</v>
      </c>
    </row>
    <row r="40">
      <c r="A40" s="41">
        <v>2010.0</v>
      </c>
      <c r="B40" s="40" t="s">
        <v>817</v>
      </c>
      <c r="C40" s="41">
        <v>3.0</v>
      </c>
    </row>
    <row r="41">
      <c r="A41" s="41">
        <v>2010.0</v>
      </c>
      <c r="B41" s="40" t="s">
        <v>88</v>
      </c>
      <c r="C41" s="41">
        <v>1.0</v>
      </c>
    </row>
    <row r="42">
      <c r="A42" s="41">
        <v>2010.0</v>
      </c>
      <c r="B42" s="40" t="s">
        <v>912</v>
      </c>
      <c r="C42" s="41">
        <v>1.0</v>
      </c>
    </row>
    <row r="43">
      <c r="A43" s="41">
        <v>2010.0</v>
      </c>
      <c r="B43" s="40" t="s">
        <v>302</v>
      </c>
      <c r="C43" s="41">
        <v>1.0</v>
      </c>
    </row>
    <row r="44">
      <c r="A44" s="41">
        <v>2014.0</v>
      </c>
      <c r="B44" s="40" t="s">
        <v>817</v>
      </c>
      <c r="C44" s="41">
        <v>2.0</v>
      </c>
    </row>
    <row r="45">
      <c r="A45" s="41">
        <v>2014.0</v>
      </c>
      <c r="B45" s="40" t="s">
        <v>302</v>
      </c>
      <c r="C45" s="41">
        <v>1.0</v>
      </c>
    </row>
    <row r="46">
      <c r="A46" s="41">
        <v>2014.0</v>
      </c>
      <c r="B46" s="40" t="s">
        <v>256</v>
      </c>
      <c r="C46" s="41">
        <v>1.0</v>
      </c>
    </row>
    <row r="47">
      <c r="A47" s="41">
        <v>2018.0</v>
      </c>
      <c r="B47" s="40" t="s">
        <v>302</v>
      </c>
      <c r="C47" s="41">
        <v>3.0</v>
      </c>
    </row>
    <row r="48">
      <c r="A48" s="41">
        <v>2018.0</v>
      </c>
      <c r="B48" s="40" t="s">
        <v>817</v>
      </c>
      <c r="C48" s="41">
        <v>2.0</v>
      </c>
    </row>
    <row r="49">
      <c r="A49" s="41">
        <v>2018.0</v>
      </c>
      <c r="B49" s="40" t="s">
        <v>635</v>
      </c>
      <c r="C49" s="41">
        <v>1.0</v>
      </c>
    </row>
    <row r="50">
      <c r="A50" s="41">
        <v>2022.0</v>
      </c>
      <c r="B50" s="40" t="s">
        <v>467</v>
      </c>
      <c r="C50" s="41">
        <v>2.0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</cols>
  <sheetData>
    <row r="1">
      <c r="A1" s="40" t="s">
        <v>1307</v>
      </c>
      <c r="B1" s="40" t="s">
        <v>1315</v>
      </c>
    </row>
    <row r="2">
      <c r="A2" s="44">
        <v>1930.0</v>
      </c>
      <c r="B2" s="45" t="s">
        <v>619</v>
      </c>
    </row>
    <row r="3">
      <c r="A3" s="44">
        <v>1950.0</v>
      </c>
      <c r="B3" s="45" t="s">
        <v>980</v>
      </c>
    </row>
    <row r="4">
      <c r="A4" s="44">
        <v>1954.0</v>
      </c>
      <c r="B4" s="45" t="s">
        <v>980</v>
      </c>
    </row>
    <row r="5">
      <c r="A5" s="44">
        <v>1954.0</v>
      </c>
      <c r="B5" s="45" t="s">
        <v>1263</v>
      </c>
    </row>
    <row r="6">
      <c r="A6" s="44">
        <v>1962.0</v>
      </c>
      <c r="B6" s="45" t="s">
        <v>545</v>
      </c>
    </row>
    <row r="7">
      <c r="A7" s="44">
        <v>1966.0</v>
      </c>
      <c r="B7" s="45" t="s">
        <v>545</v>
      </c>
    </row>
    <row r="8">
      <c r="A8" s="44">
        <v>1970.0</v>
      </c>
      <c r="B8" s="45" t="s">
        <v>1032</v>
      </c>
    </row>
    <row r="9">
      <c r="A9" s="44">
        <v>1970.0</v>
      </c>
      <c r="B9" s="45" t="s">
        <v>1316</v>
      </c>
    </row>
    <row r="10">
      <c r="A10" s="44">
        <v>1974.0</v>
      </c>
      <c r="B10" s="45" t="s">
        <v>1317</v>
      </c>
    </row>
    <row r="11">
      <c r="A11" s="44">
        <v>1974.0</v>
      </c>
      <c r="B11" s="45" t="s">
        <v>768</v>
      </c>
    </row>
    <row r="12">
      <c r="A12" s="44">
        <v>1986.0</v>
      </c>
      <c r="B12" s="40" t="s">
        <v>584</v>
      </c>
    </row>
    <row r="13">
      <c r="A13" s="44">
        <v>1986.0</v>
      </c>
      <c r="B13" s="40" t="s">
        <v>308</v>
      </c>
    </row>
    <row r="14">
      <c r="A14" s="44">
        <v>1990.0</v>
      </c>
      <c r="B14" s="45" t="s">
        <v>351</v>
      </c>
    </row>
    <row r="15">
      <c r="A15" s="44">
        <v>2002.0</v>
      </c>
      <c r="B15" s="45" t="s">
        <v>1020</v>
      </c>
    </row>
    <row r="16">
      <c r="A16" s="44">
        <v>2010.0</v>
      </c>
      <c r="B16" s="45" t="s">
        <v>270</v>
      </c>
    </row>
    <row r="17">
      <c r="A17" s="44">
        <v>2014.0</v>
      </c>
      <c r="B17" s="45" t="s">
        <v>270</v>
      </c>
    </row>
    <row r="18">
      <c r="A18" s="44">
        <v>2014.0</v>
      </c>
      <c r="B18" s="45" t="s">
        <v>256</v>
      </c>
    </row>
    <row r="19">
      <c r="A19" s="44">
        <v>2018.0</v>
      </c>
      <c r="B19" s="45" t="s">
        <v>256</v>
      </c>
    </row>
    <row r="20">
      <c r="A20" s="44">
        <v>2022.0</v>
      </c>
      <c r="B20" s="45" t="s">
        <v>256</v>
      </c>
    </row>
    <row r="21">
      <c r="A21" s="44">
        <v>2022.0</v>
      </c>
      <c r="B21" s="45" t="s">
        <v>817</v>
      </c>
    </row>
    <row r="22">
      <c r="A22" s="44">
        <v>2026.0</v>
      </c>
      <c r="B22" s="40" t="s">
        <v>635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15.75"/>
  </cols>
  <sheetData>
    <row r="1">
      <c r="A1" s="46" t="s">
        <v>1318</v>
      </c>
      <c r="B1" s="46" t="s">
        <v>1281</v>
      </c>
      <c r="C1" s="47">
        <v>1852.0</v>
      </c>
      <c r="D1" s="47">
        <v>1867.0</v>
      </c>
      <c r="E1" s="47">
        <v>1889.0</v>
      </c>
      <c r="F1" s="47">
        <v>1908.0</v>
      </c>
      <c r="G1" s="47">
        <v>1963.0</v>
      </c>
      <c r="H1" s="47">
        <v>1975.0</v>
      </c>
      <c r="I1" s="47">
        <v>1985.0</v>
      </c>
      <c r="J1" s="47">
        <v>1996.0</v>
      </c>
      <c r="K1" s="47">
        <v>2004.0</v>
      </c>
      <c r="L1" s="47">
        <v>2011.0</v>
      </c>
      <c r="M1" s="47">
        <v>2023.0</v>
      </c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</row>
    <row r="2">
      <c r="A2" s="49" t="s">
        <v>237</v>
      </c>
      <c r="B2" s="49" t="s">
        <v>237</v>
      </c>
      <c r="C2" s="37">
        <v>335.0</v>
      </c>
      <c r="D2" s="37"/>
      <c r="E2" s="37"/>
      <c r="F2" s="37">
        <v>8857.0</v>
      </c>
      <c r="G2" s="37">
        <v>23429.0</v>
      </c>
      <c r="H2" s="37">
        <v>29256.0</v>
      </c>
      <c r="I2" s="37">
        <v>35117.0</v>
      </c>
      <c r="J2" s="37">
        <v>40244.0</v>
      </c>
      <c r="K2" s="37">
        <v>41687.0</v>
      </c>
      <c r="L2" s="37">
        <v>40658.0</v>
      </c>
      <c r="M2" s="37">
        <v>43894.0</v>
      </c>
    </row>
    <row r="3">
      <c r="A3" s="49" t="s">
        <v>959</v>
      </c>
      <c r="B3" s="49" t="s">
        <v>237</v>
      </c>
      <c r="D3" s="37"/>
      <c r="E3" s="37"/>
      <c r="F3" s="37">
        <v>1867.0</v>
      </c>
      <c r="G3" s="37">
        <v>1764.0</v>
      </c>
      <c r="H3" s="37">
        <v>1753.0</v>
      </c>
      <c r="I3" s="37">
        <v>1627.0</v>
      </c>
      <c r="J3" s="37">
        <v>2144.0</v>
      </c>
      <c r="K3" s="37">
        <v>2472.0</v>
      </c>
      <c r="L3" s="37">
        <v>2531.0</v>
      </c>
      <c r="M3" s="37">
        <v>2728.0</v>
      </c>
    </row>
    <row r="4">
      <c r="A4" s="50" t="s">
        <v>1217</v>
      </c>
      <c r="B4" s="49" t="s">
        <v>237</v>
      </c>
      <c r="D4" s="37"/>
      <c r="E4" s="37"/>
      <c r="F4" s="37">
        <v>1954.0</v>
      </c>
      <c r="G4" s="37">
        <v>683.0</v>
      </c>
      <c r="H4" s="37">
        <v>540.0</v>
      </c>
      <c r="I4" s="37">
        <v>461.0</v>
      </c>
      <c r="J4" s="37">
        <v>421.0</v>
      </c>
      <c r="K4" s="37">
        <v>524.0</v>
      </c>
      <c r="L4" s="37">
        <v>380.0</v>
      </c>
      <c r="M4" s="37">
        <v>389.0</v>
      </c>
    </row>
    <row r="5">
      <c r="A5" s="49" t="s">
        <v>24</v>
      </c>
      <c r="B5" s="49" t="s">
        <v>24</v>
      </c>
      <c r="D5" s="37"/>
      <c r="E5" s="37"/>
      <c r="F5" s="37">
        <v>8523.0</v>
      </c>
      <c r="G5" s="37">
        <v>14028.0</v>
      </c>
      <c r="H5" s="37">
        <v>15988.0</v>
      </c>
      <c r="I5" s="37">
        <v>17323.0</v>
      </c>
      <c r="J5" s="37">
        <v>19388.0</v>
      </c>
      <c r="K5" s="37">
        <v>19631.0</v>
      </c>
      <c r="L5" s="37">
        <v>19865.0</v>
      </c>
      <c r="M5" s="37">
        <v>24185.0</v>
      </c>
    </row>
    <row r="6">
      <c r="A6" s="49" t="s">
        <v>892</v>
      </c>
      <c r="B6" s="49" t="s">
        <v>24</v>
      </c>
      <c r="G6" s="37">
        <v>1973.0</v>
      </c>
      <c r="H6" s="37">
        <v>2108.0</v>
      </c>
      <c r="I6" s="37">
        <v>3144.0</v>
      </c>
      <c r="J6" s="37">
        <v>3615.0</v>
      </c>
      <c r="K6" s="37">
        <v>3978.0</v>
      </c>
      <c r="L6" s="37">
        <v>4199.0</v>
      </c>
      <c r="M6" s="37">
        <v>4921.0</v>
      </c>
    </row>
    <row r="7">
      <c r="A7" s="49" t="s">
        <v>1015</v>
      </c>
      <c r="B7" s="49" t="s">
        <v>24</v>
      </c>
      <c r="D7" s="37"/>
      <c r="E7" s="37"/>
      <c r="F7" s="37">
        <v>1425.0</v>
      </c>
      <c r="G7" s="37">
        <v>2357.0</v>
      </c>
      <c r="H7" s="37">
        <v>3458.0</v>
      </c>
      <c r="I7" s="37">
        <v>4175.0</v>
      </c>
      <c r="J7" s="37">
        <v>5173.0</v>
      </c>
      <c r="K7" s="37">
        <v>6124.0</v>
      </c>
      <c r="L7" s="37">
        <v>6570.0</v>
      </c>
      <c r="M7" s="37">
        <v>8353.0</v>
      </c>
    </row>
    <row r="8">
      <c r="A8" s="49" t="s">
        <v>588</v>
      </c>
      <c r="B8" s="49" t="s">
        <v>24</v>
      </c>
      <c r="D8" s="37"/>
      <c r="E8" s="37"/>
      <c r="F8" s="37">
        <v>8109.0</v>
      </c>
      <c r="G8" s="37">
        <v>40658.0</v>
      </c>
      <c r="H8" s="37">
        <v>53331.0</v>
      </c>
      <c r="I8" s="37">
        <v>58283.0</v>
      </c>
      <c r="J8" s="37">
        <v>66584.0</v>
      </c>
      <c r="K8" s="37">
        <v>69222.0</v>
      </c>
      <c r="L8" s="37">
        <v>71268.0</v>
      </c>
      <c r="M8" s="37">
        <v>61306.0</v>
      </c>
    </row>
    <row r="9">
      <c r="A9" s="49" t="s">
        <v>1272</v>
      </c>
      <c r="B9" s="49" t="s">
        <v>24</v>
      </c>
      <c r="G9" s="37">
        <v>1221.0</v>
      </c>
      <c r="H9" s="37">
        <v>1601.0</v>
      </c>
      <c r="I9" s="37">
        <v>1763.0</v>
      </c>
      <c r="J9" s="37">
        <v>1916.0</v>
      </c>
      <c r="K9" s="37">
        <v>2080.0</v>
      </c>
      <c r="L9" s="37">
        <v>2508.0</v>
      </c>
      <c r="M9" s="37">
        <v>3564.0</v>
      </c>
    </row>
    <row r="10">
      <c r="A10" s="49" t="s">
        <v>23</v>
      </c>
      <c r="B10" s="49" t="s">
        <v>24</v>
      </c>
      <c r="D10" s="37"/>
      <c r="E10" s="37"/>
      <c r="F10" s="37">
        <v>7927.0</v>
      </c>
      <c r="G10" s="37">
        <v>12876.0</v>
      </c>
      <c r="H10" s="37">
        <v>16406.0</v>
      </c>
      <c r="I10" s="37">
        <v>19795.0</v>
      </c>
      <c r="J10" s="37">
        <v>23384.0</v>
      </c>
      <c r="K10" s="37">
        <v>24004.0</v>
      </c>
      <c r="L10" s="37">
        <v>25949.0</v>
      </c>
      <c r="M10" s="37">
        <v>31191.0</v>
      </c>
    </row>
    <row r="11">
      <c r="A11" s="49" t="s">
        <v>884</v>
      </c>
      <c r="B11" s="49" t="s">
        <v>24</v>
      </c>
      <c r="G11" s="37">
        <v>1905.0</v>
      </c>
      <c r="H11" s="37">
        <v>2244.0</v>
      </c>
      <c r="I11" s="37">
        <v>2795.0</v>
      </c>
      <c r="J11" s="37">
        <v>3596.0</v>
      </c>
      <c r="K11" s="37">
        <v>3909.0</v>
      </c>
      <c r="L11" s="37">
        <v>4864.0</v>
      </c>
      <c r="M11" s="37">
        <v>5586.0</v>
      </c>
    </row>
    <row r="12">
      <c r="A12" s="49" t="s">
        <v>726</v>
      </c>
      <c r="B12" s="49" t="s">
        <v>24</v>
      </c>
      <c r="D12" s="37"/>
      <c r="E12" s="37"/>
      <c r="F12" s="37">
        <v>4956.0</v>
      </c>
      <c r="G12" s="37">
        <v>5668.0</v>
      </c>
      <c r="H12" s="37">
        <v>6594.0</v>
      </c>
      <c r="I12" s="37">
        <v>7001.0</v>
      </c>
      <c r="J12" s="37">
        <v>6828.0</v>
      </c>
      <c r="K12" s="37">
        <v>6992.0</v>
      </c>
      <c r="L12" s="37">
        <v>7133.0</v>
      </c>
      <c r="M12" s="37">
        <v>7356.0</v>
      </c>
    </row>
    <row r="13">
      <c r="A13" s="49" t="s">
        <v>1157</v>
      </c>
      <c r="B13" s="49" t="s">
        <v>24</v>
      </c>
      <c r="G13" s="37">
        <v>12647.0</v>
      </c>
      <c r="H13" s="37">
        <v>14079.0</v>
      </c>
      <c r="I13" s="37">
        <v>14951.0</v>
      </c>
      <c r="J13" s="37">
        <v>16764.0</v>
      </c>
      <c r="K13" s="37">
        <v>16475.0</v>
      </c>
      <c r="L13" s="37">
        <v>16742.0</v>
      </c>
      <c r="M13" s="37">
        <v>17381.0</v>
      </c>
    </row>
    <row r="14">
      <c r="A14" s="49" t="s">
        <v>216</v>
      </c>
      <c r="B14" s="49" t="s">
        <v>24</v>
      </c>
      <c r="D14" s="37"/>
      <c r="E14" s="37"/>
      <c r="F14" s="37">
        <v>6935.0</v>
      </c>
      <c r="G14" s="37">
        <v>3227.0</v>
      </c>
      <c r="H14" s="37">
        <v>3911.0</v>
      </c>
      <c r="I14" s="37">
        <v>4294.0</v>
      </c>
      <c r="J14" s="37">
        <v>4932.0</v>
      </c>
      <c r="K14" s="37">
        <v>5797.0</v>
      </c>
      <c r="L14" s="37">
        <v>6132.0</v>
      </c>
      <c r="M14" s="37">
        <v>7446.0</v>
      </c>
    </row>
    <row r="15">
      <c r="A15" s="49" t="s">
        <v>180</v>
      </c>
      <c r="B15" s="49" t="s">
        <v>24</v>
      </c>
      <c r="D15" s="37"/>
      <c r="E15" s="37"/>
      <c r="F15" s="37">
        <v>9086.0</v>
      </c>
      <c r="G15" s="37">
        <v>3223.0</v>
      </c>
      <c r="H15" s="37">
        <v>3613.0</v>
      </c>
      <c r="I15" s="37">
        <v>4197.0</v>
      </c>
      <c r="J15" s="37">
        <v>4720.0</v>
      </c>
      <c r="K15" s="37">
        <v>4939.0</v>
      </c>
      <c r="L15" s="37">
        <v>5089.0</v>
      </c>
      <c r="M15" s="37">
        <v>5779.0</v>
      </c>
    </row>
    <row r="16">
      <c r="A16" s="49" t="s">
        <v>640</v>
      </c>
      <c r="B16" s="49" t="s">
        <v>24</v>
      </c>
      <c r="G16" s="37">
        <v>1703.0</v>
      </c>
      <c r="H16" s="37">
        <v>3065.0</v>
      </c>
      <c r="I16" s="37">
        <v>3321.0</v>
      </c>
      <c r="J16" s="37">
        <v>3487.0</v>
      </c>
      <c r="K16" s="37">
        <v>4028.0</v>
      </c>
      <c r="L16" s="37">
        <v>4397.0</v>
      </c>
      <c r="M16" s="37">
        <v>6520.0</v>
      </c>
    </row>
    <row r="17">
      <c r="A17" s="49" t="s">
        <v>1101</v>
      </c>
      <c r="B17" s="49" t="s">
        <v>1102</v>
      </c>
      <c r="D17" s="37"/>
      <c r="E17" s="37"/>
      <c r="F17" s="37">
        <v>12355.0</v>
      </c>
      <c r="G17" s="37">
        <v>33741.0</v>
      </c>
      <c r="H17" s="37">
        <v>38487.0</v>
      </c>
      <c r="I17" s="37">
        <v>42245.0</v>
      </c>
      <c r="J17" s="37">
        <v>46883.0</v>
      </c>
      <c r="K17" s="37">
        <v>50578.0</v>
      </c>
      <c r="L17" s="37">
        <v>51830.0</v>
      </c>
      <c r="M17" s="37">
        <v>56013.0</v>
      </c>
    </row>
    <row r="18">
      <c r="A18" s="49" t="s">
        <v>73</v>
      </c>
      <c r="B18" s="49" t="s">
        <v>74</v>
      </c>
      <c r="D18" s="37"/>
      <c r="E18" s="37"/>
      <c r="F18" s="37">
        <v>2133.0</v>
      </c>
      <c r="G18" s="37">
        <v>578.0</v>
      </c>
      <c r="H18" s="37">
        <v>638.0</v>
      </c>
      <c r="I18" s="37">
        <v>563.0</v>
      </c>
      <c r="J18" s="37">
        <v>598.0</v>
      </c>
      <c r="K18" s="37">
        <v>609.0</v>
      </c>
      <c r="L18" s="37">
        <v>586.0</v>
      </c>
      <c r="M18" s="37">
        <v>513.0</v>
      </c>
    </row>
    <row r="19">
      <c r="A19" s="49" t="s">
        <v>297</v>
      </c>
      <c r="B19" s="49" t="s">
        <v>74</v>
      </c>
      <c r="D19" s="37"/>
      <c r="E19" s="37"/>
      <c r="F19" s="37">
        <v>8021.0</v>
      </c>
      <c r="G19" s="37">
        <v>12846.0</v>
      </c>
      <c r="H19" s="37">
        <v>17046.0</v>
      </c>
      <c r="I19" s="37">
        <v>19102.0</v>
      </c>
      <c r="J19" s="37">
        <v>22200.0</v>
      </c>
      <c r="K19" s="37">
        <v>21714.0</v>
      </c>
      <c r="L19" s="37">
        <v>26231.0</v>
      </c>
      <c r="M19" s="37">
        <v>32174.0</v>
      </c>
    </row>
    <row r="20">
      <c r="A20" s="49" t="s">
        <v>196</v>
      </c>
      <c r="B20" s="49" t="s">
        <v>74</v>
      </c>
      <c r="G20" s="37">
        <v>11204.0</v>
      </c>
      <c r="H20" s="37">
        <v>11595.0</v>
      </c>
      <c r="I20" s="37">
        <v>12574.0</v>
      </c>
      <c r="J20" s="37">
        <v>12988.0</v>
      </c>
      <c r="K20" s="37">
        <v>13196.0</v>
      </c>
      <c r="L20" s="37">
        <v>12816.0</v>
      </c>
      <c r="M20" s="37">
        <v>12397.0</v>
      </c>
    </row>
    <row r="21">
      <c r="A21" s="49" t="s">
        <v>547</v>
      </c>
      <c r="B21" s="49" t="s">
        <v>74</v>
      </c>
      <c r="D21" s="37"/>
      <c r="E21" s="37"/>
      <c r="F21" s="37">
        <v>3701.0</v>
      </c>
      <c r="G21" s="37">
        <v>8012.0</v>
      </c>
      <c r="H21" s="37">
        <v>8587.0</v>
      </c>
      <c r="I21" s="37">
        <v>8768.0</v>
      </c>
      <c r="J21" s="37">
        <v>9650.0</v>
      </c>
      <c r="K21" s="37">
        <v>10002.0</v>
      </c>
      <c r="L21" s="37">
        <v>10630.0</v>
      </c>
      <c r="M21" s="37">
        <v>11740.0</v>
      </c>
    </row>
    <row r="22">
      <c r="A22" s="49" t="s">
        <v>462</v>
      </c>
      <c r="B22" s="49" t="s">
        <v>74</v>
      </c>
      <c r="D22" s="37"/>
      <c r="E22" s="37"/>
      <c r="F22" s="37">
        <v>4191.0</v>
      </c>
      <c r="G22" s="37">
        <v>6307.0</v>
      </c>
      <c r="H22" s="37">
        <v>7146.0</v>
      </c>
      <c r="I22" s="37">
        <v>7151.0</v>
      </c>
      <c r="J22" s="37">
        <v>8339.0</v>
      </c>
      <c r="K22" s="37">
        <v>9230.0</v>
      </c>
      <c r="L22" s="37">
        <v>9857.0</v>
      </c>
      <c r="M22" s="37">
        <v>10775.0</v>
      </c>
    </row>
    <row r="23">
      <c r="A23" s="49" t="s">
        <v>261</v>
      </c>
      <c r="B23" s="49" t="s">
        <v>74</v>
      </c>
      <c r="D23" s="37"/>
      <c r="E23" s="37"/>
      <c r="F23" s="37">
        <v>10682.0</v>
      </c>
      <c r="G23" s="37">
        <v>7705.0</v>
      </c>
      <c r="H23" s="37">
        <v>8292.0</v>
      </c>
      <c r="I23" s="37">
        <v>8879.0</v>
      </c>
      <c r="J23" s="37">
        <v>9428.0</v>
      </c>
      <c r="K23" s="37">
        <v>9311.0</v>
      </c>
      <c r="L23" s="37">
        <v>10085.0</v>
      </c>
      <c r="M23" s="37">
        <v>10584.0</v>
      </c>
    </row>
    <row r="24">
      <c r="A24" s="49" t="s">
        <v>65</v>
      </c>
      <c r="B24" s="49" t="s">
        <v>65</v>
      </c>
      <c r="D24" s="37"/>
      <c r="E24" s="37"/>
      <c r="F24" s="37">
        <v>10597.0</v>
      </c>
      <c r="G24" s="37">
        <v>22203.0</v>
      </c>
      <c r="H24" s="37">
        <v>25981.0</v>
      </c>
      <c r="I24" s="37">
        <v>27834.0</v>
      </c>
      <c r="J24" s="37">
        <v>30607.0</v>
      </c>
      <c r="K24" s="37">
        <v>32128.0</v>
      </c>
      <c r="L24" s="37">
        <v>34368.0</v>
      </c>
      <c r="M24" s="37">
        <v>40279.0</v>
      </c>
    </row>
    <row r="25">
      <c r="A25" s="49" t="s">
        <v>1319</v>
      </c>
      <c r="B25" s="49" t="s">
        <v>1320</v>
      </c>
      <c r="D25" s="37"/>
      <c r="E25" s="37"/>
      <c r="F25" s="37">
        <v>8317.0</v>
      </c>
      <c r="G25" s="37">
        <v>15466.0</v>
      </c>
      <c r="H25" s="37">
        <v>17587.0</v>
      </c>
      <c r="I25" s="37">
        <v>18372.0</v>
      </c>
      <c r="J25" s="37">
        <v>20031.0</v>
      </c>
      <c r="K25" s="37">
        <v>20982.0</v>
      </c>
      <c r="L25" s="37">
        <v>21429.0</v>
      </c>
      <c r="M25" s="37">
        <v>22893.0</v>
      </c>
    </row>
    <row r="26">
      <c r="A26" s="49" t="s">
        <v>129</v>
      </c>
      <c r="B26" s="49" t="s">
        <v>129</v>
      </c>
      <c r="D26" s="37"/>
      <c r="E26" s="37"/>
      <c r="F26" s="37">
        <v>10606.0</v>
      </c>
      <c r="G26" s="37">
        <v>20934.0</v>
      </c>
      <c r="H26" s="37">
        <v>25374.0</v>
      </c>
      <c r="I26" s="37">
        <v>28443.0</v>
      </c>
      <c r="J26" s="37">
        <v>31594.0</v>
      </c>
      <c r="K26" s="37">
        <v>32128.0</v>
      </c>
      <c r="L26" s="37">
        <v>33640.0</v>
      </c>
      <c r="M26" s="37">
        <v>36471.0</v>
      </c>
    </row>
    <row r="27">
      <c r="A27" s="49" t="s">
        <v>1169</v>
      </c>
      <c r="B27" s="49" t="s">
        <v>1170</v>
      </c>
      <c r="D27" s="37"/>
      <c r="E27" s="37"/>
      <c r="F27" s="37">
        <v>13345.0</v>
      </c>
      <c r="G27" s="37">
        <v>31256.0</v>
      </c>
      <c r="H27" s="37">
        <v>35225.0</v>
      </c>
      <c r="I27" s="37">
        <v>34658.0</v>
      </c>
      <c r="J27" s="37">
        <v>37146.0</v>
      </c>
      <c r="K27" s="37">
        <v>37925.0</v>
      </c>
      <c r="L27" s="37">
        <v>38816.0</v>
      </c>
      <c r="M27" s="37">
        <v>38336.0</v>
      </c>
    </row>
    <row r="28">
      <c r="A28" s="49" t="s">
        <v>203</v>
      </c>
      <c r="B28" s="49" t="s">
        <v>203</v>
      </c>
      <c r="D28" s="37"/>
      <c r="E28" s="37"/>
      <c r="F28" s="37">
        <v>4421.0</v>
      </c>
      <c r="G28" s="37">
        <v>14744.0</v>
      </c>
      <c r="H28" s="37">
        <v>23409.0</v>
      </c>
      <c r="I28" s="37">
        <v>38184.0</v>
      </c>
      <c r="J28" s="37">
        <v>59570.0</v>
      </c>
      <c r="K28" s="37">
        <v>71736.0</v>
      </c>
      <c r="L28" s="37">
        <v>86782.0</v>
      </c>
      <c r="M28" s="37">
        <v>102000.0</v>
      </c>
    </row>
    <row r="29">
      <c r="A29" s="49" t="s">
        <v>773</v>
      </c>
      <c r="B29" s="49" t="s">
        <v>203</v>
      </c>
      <c r="G29" s="37">
        <v>4546.0</v>
      </c>
      <c r="H29" s="37">
        <v>5240.0</v>
      </c>
      <c r="I29" s="37">
        <v>5878.0</v>
      </c>
      <c r="J29" s="37">
        <v>7570.0</v>
      </c>
      <c r="K29" s="37">
        <v>7899.0</v>
      </c>
      <c r="L29" s="37">
        <v>8830.0</v>
      </c>
      <c r="M29" s="37">
        <v>12150.0</v>
      </c>
    </row>
    <row r="30">
      <c r="A30" s="49" t="s">
        <v>333</v>
      </c>
      <c r="B30" s="49" t="s">
        <v>203</v>
      </c>
      <c r="G30" s="37">
        <v>5272.0</v>
      </c>
      <c r="H30" s="37">
        <v>7197.0</v>
      </c>
      <c r="I30" s="37">
        <v>6731.0</v>
      </c>
      <c r="J30" s="37">
        <v>8294.0</v>
      </c>
      <c r="K30" s="37">
        <v>7298.0</v>
      </c>
      <c r="L30" s="37">
        <v>9277.0</v>
      </c>
      <c r="M30" s="37">
        <v>18193.0</v>
      </c>
    </row>
    <row r="31">
      <c r="A31" s="49" t="s">
        <v>1056</v>
      </c>
      <c r="B31" s="49" t="s">
        <v>203</v>
      </c>
      <c r="D31" s="37"/>
      <c r="E31" s="37"/>
      <c r="F31" s="37">
        <v>5014.0</v>
      </c>
      <c r="G31" s="37">
        <v>13457.0</v>
      </c>
      <c r="H31" s="37">
        <v>16925.0</v>
      </c>
      <c r="I31" s="37">
        <v>19878.0</v>
      </c>
      <c r="J31" s="37">
        <v>24030.0</v>
      </c>
      <c r="K31" s="37">
        <v>24771.0</v>
      </c>
      <c r="L31" s="37">
        <v>27471.0</v>
      </c>
      <c r="M31" s="37">
        <v>30293.0</v>
      </c>
    </row>
    <row r="32">
      <c r="A32" s="49" t="s">
        <v>952</v>
      </c>
      <c r="B32" s="49" t="s">
        <v>35</v>
      </c>
    </row>
    <row r="33">
      <c r="A33" s="49" t="s">
        <v>1231</v>
      </c>
      <c r="B33" s="49" t="s">
        <v>35</v>
      </c>
    </row>
    <row r="34">
      <c r="A34" s="49" t="s">
        <v>35</v>
      </c>
      <c r="B34" s="49" t="s">
        <v>35</v>
      </c>
      <c r="C34" s="37">
        <v>33994.0</v>
      </c>
      <c r="D34" s="37"/>
      <c r="E34" s="37">
        <v>215061.0</v>
      </c>
      <c r="F34" s="37">
        <v>309231.0</v>
      </c>
      <c r="G34" s="37">
        <v>1202757.0</v>
      </c>
      <c r="H34" s="37">
        <v>1237227.0</v>
      </c>
      <c r="I34" s="37">
        <v>1311976.0</v>
      </c>
      <c r="J34" s="37">
        <v>1344839.0</v>
      </c>
      <c r="K34" s="37">
        <v>1325968.0</v>
      </c>
      <c r="L34" s="37">
        <v>1319108.0</v>
      </c>
      <c r="M34" s="37">
        <v>1302954.0</v>
      </c>
    </row>
    <row r="35">
      <c r="A35" s="49" t="s">
        <v>516</v>
      </c>
      <c r="B35" s="49" t="s">
        <v>35</v>
      </c>
    </row>
    <row r="36">
      <c r="A36" s="49" t="s">
        <v>711</v>
      </c>
      <c r="B36" s="49" t="s">
        <v>48</v>
      </c>
      <c r="G36" s="37">
        <v>439.0</v>
      </c>
      <c r="H36" s="37">
        <v>419.0</v>
      </c>
      <c r="I36" s="37">
        <v>281.0</v>
      </c>
      <c r="J36" s="37">
        <v>400.0</v>
      </c>
      <c r="K36" s="37">
        <v>390.0</v>
      </c>
      <c r="L36" s="37">
        <v>343.0</v>
      </c>
      <c r="M36" s="51">
        <v>454.0</v>
      </c>
    </row>
    <row r="37">
      <c r="A37" s="49" t="s">
        <v>48</v>
      </c>
      <c r="B37" s="49" t="s">
        <v>48</v>
      </c>
      <c r="D37" s="37"/>
      <c r="E37" s="37"/>
      <c r="F37" s="37">
        <v>20953.0</v>
      </c>
      <c r="G37" s="37">
        <v>51645.0</v>
      </c>
      <c r="H37" s="37">
        <v>62199.0</v>
      </c>
      <c r="I37" s="37">
        <v>68466.0</v>
      </c>
      <c r="J37" s="37">
        <v>74568.0</v>
      </c>
      <c r="K37" s="37">
        <v>73292.0</v>
      </c>
      <c r="L37" s="37">
        <v>76429.0</v>
      </c>
      <c r="M37" s="37">
        <v>81550.0</v>
      </c>
    </row>
    <row r="38">
      <c r="A38" s="49" t="s">
        <v>144</v>
      </c>
      <c r="B38" s="49" t="s">
        <v>144</v>
      </c>
      <c r="D38" s="37">
        <v>341.0</v>
      </c>
      <c r="E38" s="37">
        <v>1000.0</v>
      </c>
      <c r="F38" s="37">
        <v>8986.0</v>
      </c>
      <c r="G38" s="37">
        <v>41266.0</v>
      </c>
      <c r="H38" s="37">
        <v>48942.0</v>
      </c>
      <c r="I38" s="37">
        <v>62193.0</v>
      </c>
      <c r="J38" s="37">
        <v>71345.0</v>
      </c>
      <c r="K38" s="37">
        <v>76795.0</v>
      </c>
      <c r="L38" s="37">
        <v>78900.0</v>
      </c>
      <c r="M38" s="37">
        <v>84775.0</v>
      </c>
    </row>
    <row r="39">
      <c r="A39" s="49" t="s">
        <v>244</v>
      </c>
      <c r="B39" s="49" t="s">
        <v>244</v>
      </c>
      <c r="F39" s="37">
        <v>12200.0</v>
      </c>
      <c r="G39" s="37">
        <v>19484.0</v>
      </c>
      <c r="H39" s="37">
        <v>21502.0</v>
      </c>
      <c r="I39" s="37">
        <v>24013.0</v>
      </c>
      <c r="J39" s="37">
        <v>26017.0</v>
      </c>
      <c r="K39" s="37">
        <v>25538.0</v>
      </c>
      <c r="L39" s="37">
        <v>25422.0</v>
      </c>
      <c r="M39" s="37">
        <v>26784.0</v>
      </c>
    </row>
    <row r="40">
      <c r="A40" s="49" t="s">
        <v>403</v>
      </c>
      <c r="B40" s="49" t="s">
        <v>404</v>
      </c>
      <c r="F40" s="37">
        <v>7359.0</v>
      </c>
      <c r="G40" s="37">
        <v>17094.0</v>
      </c>
      <c r="H40" s="37">
        <v>19407.0</v>
      </c>
      <c r="I40" s="37">
        <v>19862.0</v>
      </c>
      <c r="J40" s="37">
        <v>21959.0</v>
      </c>
      <c r="K40" s="37">
        <v>23122.0</v>
      </c>
      <c r="L40" s="37">
        <v>24406.0</v>
      </c>
      <c r="M40" s="37">
        <v>26967.0</v>
      </c>
    </row>
    <row r="41">
      <c r="A41" s="49" t="s">
        <v>471</v>
      </c>
      <c r="B41" s="49" t="s">
        <v>404</v>
      </c>
      <c r="F41" s="37">
        <v>1454.0</v>
      </c>
      <c r="G41" s="37">
        <v>1912.0</v>
      </c>
      <c r="H41" s="37">
        <v>2659.0</v>
      </c>
      <c r="I41" s="37">
        <v>2097.0</v>
      </c>
      <c r="J41" s="37">
        <v>2366.0</v>
      </c>
      <c r="K41" s="37">
        <v>2438.0</v>
      </c>
      <c r="L41" s="37">
        <v>2450.0</v>
      </c>
      <c r="M41" s="37">
        <v>2692.0</v>
      </c>
    </row>
    <row r="42">
      <c r="A42" s="49" t="s">
        <v>187</v>
      </c>
      <c r="B42" s="49" t="s">
        <v>187</v>
      </c>
      <c r="C42" s="37">
        <v>2882.0</v>
      </c>
      <c r="F42" s="37">
        <v>19788.0</v>
      </c>
      <c r="G42" s="37">
        <v>57975.0</v>
      </c>
      <c r="H42" s="37">
        <v>73897.0</v>
      </c>
      <c r="I42" s="37">
        <v>80821.0</v>
      </c>
      <c r="J42" s="37">
        <v>93117.0</v>
      </c>
      <c r="K42" s="37">
        <v>99072.0</v>
      </c>
      <c r="L42" s="37">
        <v>104028.0</v>
      </c>
      <c r="M42" s="37">
        <v>114084.0</v>
      </c>
    </row>
    <row r="43">
      <c r="A43" s="49" t="s">
        <v>988</v>
      </c>
      <c r="B43" s="49" t="s">
        <v>989</v>
      </c>
      <c r="D43" s="37">
        <v>3224.0</v>
      </c>
      <c r="F43" s="37">
        <v>12297.0</v>
      </c>
      <c r="G43" s="37">
        <v>27482.0</v>
      </c>
      <c r="H43" s="37">
        <v>28554.0</v>
      </c>
      <c r="I43" s="37">
        <v>31825.0</v>
      </c>
      <c r="J43" s="37">
        <v>34552.0</v>
      </c>
      <c r="K43" s="37">
        <v>36339.0</v>
      </c>
      <c r="L43" s="37">
        <v>36747.0</v>
      </c>
      <c r="M43" s="37">
        <v>38553.0</v>
      </c>
    </row>
    <row r="44">
      <c r="A44" s="49" t="s">
        <v>1150</v>
      </c>
      <c r="B44" s="49" t="s">
        <v>108</v>
      </c>
      <c r="F44" s="37">
        <v>1963.0</v>
      </c>
      <c r="G44" s="37">
        <v>12480.0</v>
      </c>
      <c r="H44" s="37">
        <v>13322.0</v>
      </c>
      <c r="I44" s="37">
        <v>13084.0</v>
      </c>
      <c r="J44" s="37">
        <v>14784.0</v>
      </c>
      <c r="K44" s="37">
        <v>15753.0</v>
      </c>
      <c r="L44" s="37">
        <v>17174.0</v>
      </c>
      <c r="M44" s="37">
        <v>18447.0</v>
      </c>
    </row>
    <row r="45">
      <c r="A45" s="49" t="s">
        <v>687</v>
      </c>
      <c r="B45" s="49" t="s">
        <v>108</v>
      </c>
      <c r="K45" s="37">
        <v>93.0</v>
      </c>
      <c r="L45" s="37">
        <v>73.0</v>
      </c>
      <c r="M45" s="51">
        <v>110.0</v>
      </c>
    </row>
    <row r="46">
      <c r="A46" s="49" t="s">
        <v>107</v>
      </c>
      <c r="B46" s="49" t="s">
        <v>108</v>
      </c>
      <c r="H46" s="37">
        <v>34518.0</v>
      </c>
      <c r="I46" s="37">
        <v>36701.0</v>
      </c>
      <c r="J46" s="37">
        <v>39320.0</v>
      </c>
      <c r="K46" s="37">
        <v>42032.0</v>
      </c>
      <c r="L46" s="37">
        <v>42032.0</v>
      </c>
      <c r="M46" s="37">
        <v>43528.0</v>
      </c>
    </row>
    <row r="47">
      <c r="A47" s="49" t="s">
        <v>383</v>
      </c>
      <c r="B47" s="49" t="s">
        <v>384</v>
      </c>
      <c r="F47" s="37">
        <v>4963.0</v>
      </c>
      <c r="G47" s="37">
        <v>11359.0</v>
      </c>
      <c r="H47" s="37">
        <v>13032.0</v>
      </c>
      <c r="I47" s="37">
        <v>13026.0</v>
      </c>
      <c r="J47" s="37">
        <v>13315.0</v>
      </c>
      <c r="K47" s="37">
        <v>13231.0</v>
      </c>
      <c r="L47" s="37">
        <v>12985.0</v>
      </c>
      <c r="M47" s="37">
        <v>14210.0</v>
      </c>
    </row>
    <row r="48">
      <c r="A48" s="49" t="s">
        <v>228</v>
      </c>
      <c r="B48" s="49" t="s">
        <v>228</v>
      </c>
      <c r="F48" s="37">
        <v>7718.0</v>
      </c>
      <c r="G48" s="37">
        <v>22557.0</v>
      </c>
      <c r="H48" s="37">
        <v>23448.0</v>
      </c>
      <c r="I48" s="37">
        <v>25116.0</v>
      </c>
      <c r="J48" s="37">
        <v>26390.0</v>
      </c>
      <c r="K48" s="37">
        <v>25711.0</v>
      </c>
      <c r="L48" s="37">
        <v>24477.0</v>
      </c>
      <c r="M48" s="37">
        <v>25890.0</v>
      </c>
    </row>
  </sheetData>
  <drawing r:id="rId1"/>
</worksheet>
</file>