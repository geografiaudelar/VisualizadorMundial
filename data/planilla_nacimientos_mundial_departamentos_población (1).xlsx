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DOCS\FCIEN_GEO\proyecciones_mundial\"/>
    </mc:Choice>
  </mc:AlternateContent>
  <xr:revisionPtr revIDLastSave="0" documentId="13_ncr:1_{FE6019AB-CD51-491F-B894-CF60AF02E9D6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Futbolistas" sheetId="1" r:id="rId1"/>
    <sheet name="Población" sheetId="3" r:id="rId2"/>
    <sheet name="Cantidad por departamento" sheetId="2" r:id="rId3"/>
    <sheet name="Hoja1" sheetId="4" r:id="rId4"/>
    <sheet name="Prop100K_hab" sheetId="5" r:id="rId5"/>
    <sheet name="Extranjeros" sheetId="8" r:id="rId6"/>
    <sheet name="Long" sheetId="6" r:id="rId7"/>
    <sheet name="Proyeccion2030" sheetId="7" r:id="rId8"/>
  </sheets>
  <definedNames>
    <definedName name="_xlnm._FilterDatabase" localSheetId="0" hidden="1">Futbolistas!$A$1:$D$23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" i="5" l="1"/>
  <c r="D72" i="5"/>
  <c r="E72" i="5"/>
  <c r="F72" i="5"/>
  <c r="G72" i="5"/>
  <c r="H72" i="5"/>
  <c r="I72" i="5"/>
  <c r="J72" i="5"/>
  <c r="K72" i="5"/>
  <c r="L72" i="5"/>
  <c r="M72" i="5"/>
  <c r="N72" i="5"/>
  <c r="B7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B52" i="5"/>
  <c r="C71" i="5"/>
  <c r="D71" i="5"/>
  <c r="E71" i="5"/>
  <c r="F71" i="5"/>
  <c r="G71" i="5"/>
  <c r="H71" i="5"/>
  <c r="I71" i="5"/>
  <c r="J71" i="5"/>
  <c r="K71" i="5"/>
  <c r="L71" i="5"/>
  <c r="M71" i="5"/>
  <c r="N71" i="5"/>
  <c r="B71" i="5"/>
  <c r="L11" i="3"/>
  <c r="M11" i="3"/>
  <c r="P4" i="2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3" i="2"/>
  <c r="P24" i="2" s="1"/>
  <c r="C24" i="2"/>
  <c r="D24" i="2"/>
  <c r="E24" i="2"/>
  <c r="F24" i="2"/>
  <c r="G24" i="2"/>
  <c r="H24" i="2"/>
  <c r="I24" i="2"/>
  <c r="J24" i="2"/>
  <c r="K24" i="2"/>
  <c r="L24" i="2"/>
  <c r="M24" i="2"/>
  <c r="N24" i="2"/>
  <c r="B24" i="2"/>
</calcChain>
</file>

<file path=xl/sharedStrings.xml><?xml version="1.0" encoding="utf-8"?>
<sst xmlns="http://schemas.openxmlformats.org/spreadsheetml/2006/main" count="1050" uniqueCount="298">
  <si>
    <t>Jugador</t>
  </si>
  <si>
    <t>Mundial</t>
  </si>
  <si>
    <t>Departamento</t>
  </si>
  <si>
    <t>Salto</t>
  </si>
  <si>
    <t>Montevideo</t>
  </si>
  <si>
    <t>Jose Andrade – Nacional</t>
  </si>
  <si>
    <t>Juan Anselmo – Peñarol</t>
  </si>
  <si>
    <t>Pablo Dorado – Bella Vista</t>
  </si>
  <si>
    <t>Lorenzo Fernandez – Peñarol</t>
  </si>
  <si>
    <t>Alvaro Gestido – Peñarol</t>
  </si>
  <si>
    <t>Victoriano Iriarte – Racing Club</t>
  </si>
  <si>
    <t>Angel Melogno – Bella Vista</t>
  </si>
  <si>
    <t>Jose Nasazzi – Bella Vista</t>
  </si>
  <si>
    <t>Ernresto Mascheroni – Olimpia Montevideo</t>
  </si>
  <si>
    <t>Pedro Petrone – Nacional</t>
  </si>
  <si>
    <t>Conduelo Piriz – Nacional</t>
  </si>
  <si>
    <t>Emilio Recoba – Nacional</t>
  </si>
  <si>
    <t>Carlos Riolfo – Penarol</t>
  </si>
  <si>
    <t>Zoilo Saldombide – Montevideo Wanderers</t>
  </si>
  <si>
    <t>Hector Scarone – Nacional</t>
  </si>
  <si>
    <t>Domingo Tejera – Montevideo Wanderers</t>
  </si>
  <si>
    <t>Santos Urdinaran – Nacional</t>
  </si>
  <si>
    <t>Enrique Ballestrero</t>
  </si>
  <si>
    <t>Colonia</t>
  </si>
  <si>
    <t>Juan Carlos Calvo</t>
  </si>
  <si>
    <t>Miguel Cappuccini</t>
  </si>
  <si>
    <t>Hector Castro</t>
  </si>
  <si>
    <t>Pedro Cea</t>
  </si>
  <si>
    <t>Pais</t>
  </si>
  <si>
    <t>Extranjero</t>
  </si>
  <si>
    <t>España, Redondela</t>
  </si>
  <si>
    <t>Canelones</t>
  </si>
  <si>
    <t>Durazno</t>
  </si>
  <si>
    <t>Julio Cesar Britos – Peñarol</t>
  </si>
  <si>
    <t>Juan Burgueño – Nacional</t>
  </si>
  <si>
    <t>Schubert Gambetta – Nacional</t>
  </si>
  <si>
    <t>Alcides Ghiggia – Peñarol</t>
  </si>
  <si>
    <t>Juan Carlos González – Peñarol</t>
  </si>
  <si>
    <t>Matías González – Cerro</t>
  </si>
  <si>
    <t>William Martínez – Rampla Juniors</t>
  </si>
  <si>
    <t>Roque Maspoli – Peñarol</t>
  </si>
  <si>
    <t>Óscar Míguez – Peñarol</t>
  </si>
  <si>
    <t>Rubén Morán – Cerro</t>
  </si>
  <si>
    <t>Washington Ortuño – Peñarol</t>
  </si>
  <si>
    <t>Aníbal Paz – Nacional</t>
  </si>
  <si>
    <t>Julio Pérez – Nacional</t>
  </si>
  <si>
    <t>Rodolfo Pini – Nacional</t>
  </si>
  <si>
    <t>Luis Rijo – Central Español</t>
  </si>
  <si>
    <t>Víctor Rodríguez Andrade – Central Español</t>
  </si>
  <si>
    <t>Carlos Romero – Danubio</t>
  </si>
  <si>
    <t>Eusebio Tejera – Nacional</t>
  </si>
  <si>
    <t>Obdulio Varela – Peñarol</t>
  </si>
  <si>
    <t>Ernesto Vidal – Peñarol</t>
  </si>
  <si>
    <t>Héctor Vilches – Cerro</t>
  </si>
  <si>
    <t>Artigas</t>
  </si>
  <si>
    <t>Río Negro</t>
  </si>
  <si>
    <t>Croacia, Buje</t>
  </si>
  <si>
    <t>José Emilio Santamaría</t>
  </si>
  <si>
    <t>Roberto Leopardi</t>
  </si>
  <si>
    <t>Julio César Abbadie</t>
  </si>
  <si>
    <t>Juan Eduardo Hohberg</t>
  </si>
  <si>
    <t>Argentina, Alejo Ledesma</t>
  </si>
  <si>
    <t>Juan Alberto Schiaffino – Peñarol</t>
  </si>
  <si>
    <t>Carlos Borges</t>
  </si>
  <si>
    <t>Julio Maceiras</t>
  </si>
  <si>
    <t>Mirto Davoine</t>
  </si>
  <si>
    <t>Urbano Rivera</t>
  </si>
  <si>
    <t>Néstor Carballo</t>
  </si>
  <si>
    <t>Luis Alberto Cruz</t>
  </si>
  <si>
    <t>Rafael Souto</t>
  </si>
  <si>
    <t>Javier Ambrois</t>
  </si>
  <si>
    <t>Omar Méndez</t>
  </si>
  <si>
    <t>San José</t>
  </si>
  <si>
    <t>Luis Ernesto Castro</t>
  </si>
  <si>
    <t>Ladislao Mazurkiewicz</t>
  </si>
  <si>
    <t>Maldonado</t>
  </si>
  <si>
    <t>Horacio Troche</t>
  </si>
  <si>
    <t>Jorge Carlos Manicera</t>
  </si>
  <si>
    <t>Pablo Forlán</t>
  </si>
  <si>
    <t>Soriano</t>
  </si>
  <si>
    <t>Néstor Gonçalves</t>
  </si>
  <si>
    <t>Omar Caetano</t>
  </si>
  <si>
    <t>Julio César Cortés</t>
  </si>
  <si>
    <t>José Urruzmendi</t>
  </si>
  <si>
    <t>José Francisco Sasía</t>
  </si>
  <si>
    <t>Treinta y Tres</t>
  </si>
  <si>
    <t>Pedro Virgilio Rocha</t>
  </si>
  <si>
    <t>Domingo Salvador Pérez</t>
  </si>
  <si>
    <t>Paysandú</t>
  </si>
  <si>
    <t>Roberto Eduardo Sosa</t>
  </si>
  <si>
    <t>Nelson Díaz</t>
  </si>
  <si>
    <t>Emilio Álvarez Silva</t>
  </si>
  <si>
    <t>Luis Ubiña</t>
  </si>
  <si>
    <t>Eliseo Álvarez</t>
  </si>
  <si>
    <t>Argentina, Bs As</t>
  </si>
  <si>
    <t>Héctor Salvá González</t>
  </si>
  <si>
    <t>Milton Viera Rivero</t>
  </si>
  <si>
    <t>Cerro Largo</t>
  </si>
  <si>
    <t>Héctor Silva</t>
  </si>
  <si>
    <t>Luis Eduardo Ramos de Lucía</t>
  </si>
  <si>
    <t>Víctor Rodolfo Espárrago Videla</t>
  </si>
  <si>
    <t>Walter Taibo Martínez</t>
  </si>
  <si>
    <t>Atilio Ancheta</t>
  </si>
  <si>
    <t>Florida</t>
  </si>
  <si>
    <t>Roberto Matosas Postiglione</t>
  </si>
  <si>
    <t>Julio Walter Montero Castillo</t>
  </si>
  <si>
    <t>Luis Alberto Cubilla Almeida</t>
  </si>
  <si>
    <t>Juan Martín Mugica Ferreira </t>
  </si>
  <si>
    <t>Ildo Enrique Maneiro</t>
  </si>
  <si>
    <t>Julio César Morales</t>
  </si>
  <si>
    <t>Héctor Ignacio Santos</t>
  </si>
  <si>
    <t>Rodolfo Sandoval</t>
  </si>
  <si>
    <t>Francisco Cámera</t>
  </si>
  <si>
    <t>Dagoberto Fontes</t>
  </si>
  <si>
    <t>Rubén Bareño</t>
  </si>
  <si>
    <t>Alberto Gómez</t>
  </si>
  <si>
    <t>Joffre Oscar Zubía</t>
  </si>
  <si>
    <t>URUGUAY</t>
  </si>
  <si>
    <t>Julio Losada</t>
  </si>
  <si>
    <t>Walter Luis Corbo</t>
  </si>
  <si>
    <t>Baudilio Jorge Jáuregui Pelayo</t>
  </si>
  <si>
    <t>Tacuarembó</t>
  </si>
  <si>
    <t>Juan Carlos Masnik Hornos</t>
  </si>
  <si>
    <t>Pablo Justo Forlán Lamarque</t>
  </si>
  <si>
    <t>Julio Montero Castillo</t>
  </si>
  <si>
    <t>Ricardo Pavoni</t>
  </si>
  <si>
    <t>Luis Cubilla</t>
  </si>
  <si>
    <t>Fernando Morena</t>
  </si>
  <si>
    <t>Pedro Rocha</t>
  </si>
  <si>
    <t>Ruben Romeo Corbo</t>
  </si>
  <si>
    <t>Gustavo De Simone</t>
  </si>
  <si>
    <t>Luis Garisto</t>
  </si>
  <si>
    <t>Mario González</t>
  </si>
  <si>
    <t>Alberto Cardaccio</t>
  </si>
  <si>
    <t>Julio César Jiménez</t>
  </si>
  <si>
    <t>Walter Mantegazza</t>
  </si>
  <si>
    <t>Rocha</t>
  </si>
  <si>
    <t>Denis Milar</t>
  </si>
  <si>
    <t>Juan Ramón Silva</t>
  </si>
  <si>
    <t>José Gómez</t>
  </si>
  <si>
    <t>Gustavo Fernández</t>
  </si>
  <si>
    <t>Rodolfo RODRÍGUEZ</t>
  </si>
  <si>
    <t>Nelson Gutiérrez</t>
  </si>
  <si>
    <t>Miguel BOSSIO</t>
  </si>
  <si>
    <t>Enzo Francescoli Uriarte</t>
  </si>
  <si>
    <t>Wilmar CABRERA</t>
  </si>
  <si>
    <t>Amaro NADAL</t>
  </si>
  <si>
    <t>Venancio RAMOS</t>
  </si>
  <si>
    <t>Néstor MONTELONGO</t>
  </si>
  <si>
    <t>Sergio SANTÍN</t>
  </si>
  <si>
    <t>Jorge DA SILVA</t>
  </si>
  <si>
    <t>Eduardo ACEVEDO</t>
  </si>
  <si>
    <t>Víctor Hugo DIOGO</t>
  </si>
  <si>
    <t>Jorge BARRIOS</t>
  </si>
  <si>
    <t>Carlos AGUILERA</t>
  </si>
  <si>
    <t>Mario SARALEGUI</t>
  </si>
  <si>
    <t>José BATISTA</t>
  </si>
  <si>
    <t>Darío PEREYRA</t>
  </si>
  <si>
    <t>Daniel MARTÍNEZ</t>
  </si>
  <si>
    <t>Fernando Alvez</t>
  </si>
  <si>
    <t xml:space="preserve">Hugo De León </t>
  </si>
  <si>
    <t>Rivera</t>
  </si>
  <si>
    <t>José Herrera</t>
  </si>
  <si>
    <t>José Perdomo</t>
  </si>
  <si>
    <t>Alfonso Domínguez</t>
  </si>
  <si>
    <t>Antonio Alzamendi</t>
  </si>
  <si>
    <t>Santiago Ostolaza</t>
  </si>
  <si>
    <t>Ruben Paz</t>
  </si>
  <si>
    <t>Ruben Sosa</t>
  </si>
  <si>
    <t>Eduardo Pereira Martínez</t>
  </si>
  <si>
    <t>Daniel Revelez</t>
  </si>
  <si>
    <t>José Luis Pintos Saldanha</t>
  </si>
  <si>
    <t>Gabriel Correa</t>
  </si>
  <si>
    <t>Pablo Bengoechea</t>
  </si>
  <si>
    <t>Sergio Martínez</t>
  </si>
  <si>
    <t>Carlos Aguilera</t>
  </si>
  <si>
    <t>Daniel Fonseca</t>
  </si>
  <si>
    <t>Ruben Pereira</t>
  </si>
  <si>
    <t>William Castro</t>
  </si>
  <si>
    <t>Javier Zeoli</t>
  </si>
  <si>
    <t>Fabián Carini</t>
  </si>
  <si>
    <t>Gustavo Méndez</t>
  </si>
  <si>
    <t>Alejandro Lembo</t>
  </si>
  <si>
    <t>Paolo Montero</t>
  </si>
  <si>
    <t>Pablo García</t>
  </si>
  <si>
    <t>Darío Rodríguez</t>
  </si>
  <si>
    <t>Gianni Guigou</t>
  </si>
  <si>
    <t>Gustavo Varela</t>
  </si>
  <si>
    <t>Darío Silva</t>
  </si>
  <si>
    <t>Fabián O’Neil</t>
  </si>
  <si>
    <t>Federico Magallanes</t>
  </si>
  <si>
    <t>Gustavo Munúa</t>
  </si>
  <si>
    <t>Sebastián Abreu</t>
  </si>
  <si>
    <t>Lavalleja</t>
  </si>
  <si>
    <t>Gonzalo Sorondo</t>
  </si>
  <si>
    <t>Nicolás Olivera</t>
  </si>
  <si>
    <t>Marcelo Romero</t>
  </si>
  <si>
    <t>Mario Regueiro</t>
  </si>
  <si>
    <t>Richard Morales</t>
  </si>
  <si>
    <t>Joe Bizera</t>
  </si>
  <si>
    <t>Álvaro Recoba</t>
  </si>
  <si>
    <t>Diego Forlán</t>
  </si>
  <si>
    <t>Gonzalo De Los Santos</t>
  </si>
  <si>
    <t>Federico Elduayen</t>
  </si>
  <si>
    <t>Fernando Muslera</t>
  </si>
  <si>
    <t>Argentina, Buenos Aires</t>
  </si>
  <si>
    <t>Diego Lugano</t>
  </si>
  <si>
    <t>Diego Godín</t>
  </si>
  <si>
    <t>Jorge Fucile</t>
  </si>
  <si>
    <t>Walter Gargano</t>
  </si>
  <si>
    <t>Mauricio Victorino</t>
  </si>
  <si>
    <t>Edinson Cavani</t>
  </si>
  <si>
    <t>Sebastián Eguren</t>
  </si>
  <si>
    <t>Luis Suárez</t>
  </si>
  <si>
    <t>Álvaro Pereira</t>
  </si>
  <si>
    <t>Juan Castillo</t>
  </si>
  <si>
    <t>Nicolás Lodeiro</t>
  </si>
  <si>
    <t>Diego Pérez</t>
  </si>
  <si>
    <t>Maximiliano Pereira</t>
  </si>
  <si>
    <t>Egidio Arévalo Ríos</t>
  </si>
  <si>
    <t>Ignacio María González</t>
  </si>
  <si>
    <t>Andrés Scotti</t>
  </si>
  <si>
    <t>Álvaro Fernández</t>
  </si>
  <si>
    <t>Sebastián Fernández</t>
  </si>
  <si>
    <t>Martín Cáceres</t>
  </si>
  <si>
    <t>Martín Silva</t>
  </si>
  <si>
    <t>Cristian Rodríguez</t>
  </si>
  <si>
    <t>Abel Hernández</t>
  </si>
  <si>
    <t>Cristhian Stuani</t>
  </si>
  <si>
    <t>Rodrigo Muñoz</t>
  </si>
  <si>
    <t>José María Giménez</t>
  </si>
  <si>
    <t>Gastón Ramírez</t>
  </si>
  <si>
    <t>Sebastián Coates</t>
  </si>
  <si>
    <t>Álvaro González</t>
  </si>
  <si>
    <t>Guillermo Varela</t>
  </si>
  <si>
    <t>Carlos Andrés Sánchez</t>
  </si>
  <si>
    <t>Rodrigo Bentancur Colmán</t>
  </si>
  <si>
    <t>Nahitan Nández</t>
  </si>
  <si>
    <t>Giorgian de Arrascaeta</t>
  </si>
  <si>
    <t>Martín Campaña</t>
  </si>
  <si>
    <t>Gastón Silva</t>
  </si>
  <si>
    <t>Lucas Torreira</t>
  </si>
  <si>
    <t>Matías Vecino</t>
  </si>
  <si>
    <t>Diego Laxalt</t>
  </si>
  <si>
    <t>Maximiliano Gómez</t>
  </si>
  <si>
    <t>Jonathan Urretaviscaya</t>
  </si>
  <si>
    <t>Ronald Araújo</t>
  </si>
  <si>
    <t>Nicolás de la Cruz</t>
  </si>
  <si>
    <t>Facundo Pellistri</t>
  </si>
  <si>
    <t>Darwin Núñez</t>
  </si>
  <si>
    <t>Sebastián Sosa</t>
  </si>
  <si>
    <t>Federico Valverde</t>
  </si>
  <si>
    <t>Mathias Oliveira</t>
  </si>
  <si>
    <t>Matías Viña</t>
  </si>
  <si>
    <t>Maxi Gómez</t>
  </si>
  <si>
    <t>Facundo Torres</t>
  </si>
  <si>
    <t>Sergio Rochet</t>
  </si>
  <si>
    <t>Agustín Canobbio</t>
  </si>
  <si>
    <t>Manuel Ugarte</t>
  </si>
  <si>
    <t>José Luis Rodríguez</t>
  </si>
  <si>
    <t>Flores</t>
  </si>
  <si>
    <t>Extranjeros</t>
  </si>
  <si>
    <t>Total</t>
  </si>
  <si>
    <t>hay 2 especificar</t>
  </si>
  <si>
    <t>Porcentaje</t>
  </si>
  <si>
    <t>Censos de Población años 1852, 1860, 1908, 1963, 1975, 1985, 1996, 2004 (Fase 1) y 2011</t>
  </si>
  <si>
    <t>Departametno</t>
  </si>
  <si>
    <t>2011 (1)</t>
  </si>
  <si>
    <t>Total del País</t>
  </si>
  <si>
    <t>Resto País</t>
  </si>
  <si>
    <t>(a)</t>
  </si>
  <si>
    <t>(b)</t>
  </si>
  <si>
    <t>(c)</t>
  </si>
  <si>
    <t>Rio Negro</t>
  </si>
  <si>
    <t>(d)</t>
  </si>
  <si>
    <t>(e)</t>
  </si>
  <si>
    <t>(f)</t>
  </si>
  <si>
    <t>(g)</t>
  </si>
  <si>
    <t>Fuente: Instituto Nacional de Estadística (INE).</t>
  </si>
  <si>
    <t>(1): Incluye las 437 personas en situación de calle y las 34.223 personas estimadas en viviendas con moradores ausentes.</t>
  </si>
  <si>
    <t>(a): Artigas se creó con parte del departamento de Salto.</t>
  </si>
  <si>
    <t>(b): Flores se creó con parte del departamento de  San José.</t>
  </si>
  <si>
    <t>(c): Florida se creó con parte del departamento de  San José.</t>
  </si>
  <si>
    <t>(d): Rio Negro se creó con parte del departamento de Paysandú.</t>
  </si>
  <si>
    <t>(e): Rivera se creó con parte del departamento de Tacuarembó.</t>
  </si>
  <si>
    <t>(f):  Rocha se creó con parte del departamento de Maldonado.</t>
  </si>
  <si>
    <t>(g): Treinta y Tres se creó con los departamentos  de Minas (actual Lavalleja) y de Cerro Largo.</t>
  </si>
  <si>
    <t>Poblacion en el pais segun departamento (INE)</t>
  </si>
  <si>
    <t>¿2030?</t>
  </si>
  <si>
    <t>Futbolistas cada 10.000 o 100.000 habitantes</t>
  </si>
  <si>
    <t>Proyeccion 2030 (2025)</t>
  </si>
  <si>
    <t>Censo Origen</t>
  </si>
  <si>
    <t>Proyeccion 2026 (2025)</t>
  </si>
  <si>
    <t>Dpto</t>
  </si>
  <si>
    <t>Prop</t>
  </si>
  <si>
    <t>year</t>
  </si>
  <si>
    <t>Pob2030</t>
  </si>
  <si>
    <t>prop_ext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</si>
</sst>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3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2" borderId="0" xfId="0" applyFont="1" applyFill="1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0" fontId="0" fillId="0" borderId="0" xfId="0"/>
    <xf numFmtId="3" fontId="4" fillId="3" borderId="0" xfId="0" applyNumberFormat="1" applyFont="1" applyFill="1"/>
    <xf numFmtId="3" fontId="0" fillId="0" borderId="0" xfId="0" applyNumberFormat="1" applyFill="1" applyBorder="1"/>
    <xf numFmtId="0" fontId="0" fillId="0" borderId="3" xfId="0" applyFill="1" applyBorder="1"/>
    <xf numFmtId="3" fontId="4" fillId="3" borderId="0" xfId="0" applyNumberFormat="1" applyFont="1" applyFill="1" applyBorder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3" fontId="4" fillId="3" borderId="0" xfId="0" applyNumberFormat="1" applyFont="1" applyFill="1"/>
    <xf numFmtId="0" fontId="0" fillId="0" borderId="0" xfId="0"/>
    <xf numFmtId="3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1"/>
  <sheetViews>
    <sheetView topLeftCell="A91" zoomScale="85" zoomScaleNormal="85" workbookViewId="0">
      <selection activeCell="F23" sqref="F23"/>
    </sheetView>
  </sheetViews>
  <sheetFormatPr baseColWidth="10" defaultColWidth="11.453125" defaultRowHeight="15.5" x14ac:dyDescent="0.35"/>
  <cols>
    <col min="1" max="1" width="14.81640625" style="1" customWidth="1"/>
    <col min="2" max="2" width="46.26953125" style="1" customWidth="1"/>
    <col min="3" max="3" width="24.81640625" style="1" customWidth="1"/>
    <col min="4" max="4" width="28.81640625" style="1" bestFit="1" customWidth="1"/>
    <col min="5" max="16384" width="11.453125" style="1"/>
  </cols>
  <sheetData>
    <row r="1" spans="1:4" x14ac:dyDescent="0.35">
      <c r="A1" s="7" t="s">
        <v>1</v>
      </c>
      <c r="B1" s="7" t="s">
        <v>0</v>
      </c>
      <c r="C1" s="7" t="s">
        <v>2</v>
      </c>
      <c r="D1" s="7" t="s">
        <v>28</v>
      </c>
    </row>
    <row r="2" spans="1:4" ht="15" customHeight="1" x14ac:dyDescent="0.35">
      <c r="A2" s="8"/>
      <c r="B2" s="7" t="s">
        <v>5</v>
      </c>
      <c r="C2" s="7" t="s">
        <v>3</v>
      </c>
      <c r="D2" s="7"/>
    </row>
    <row r="3" spans="1:4" x14ac:dyDescent="0.35">
      <c r="A3" s="9">
        <v>1930</v>
      </c>
      <c r="B3" s="7" t="s">
        <v>6</v>
      </c>
      <c r="C3" s="7" t="s">
        <v>4</v>
      </c>
      <c r="D3" s="7"/>
    </row>
    <row r="4" spans="1:4" ht="15" customHeight="1" x14ac:dyDescent="0.35">
      <c r="A4" s="9">
        <v>1930</v>
      </c>
      <c r="B4" s="7" t="s">
        <v>22</v>
      </c>
      <c r="C4" s="7" t="s">
        <v>23</v>
      </c>
      <c r="D4" s="7"/>
    </row>
    <row r="5" spans="1:4" x14ac:dyDescent="0.35">
      <c r="A5" s="9">
        <v>1930</v>
      </c>
      <c r="B5" s="7" t="s">
        <v>24</v>
      </c>
      <c r="C5" s="7" t="s">
        <v>4</v>
      </c>
      <c r="D5" s="7"/>
    </row>
    <row r="6" spans="1:4" x14ac:dyDescent="0.35">
      <c r="A6" s="9">
        <v>1930</v>
      </c>
      <c r="B6" s="7" t="s">
        <v>25</v>
      </c>
      <c r="C6" s="7" t="s">
        <v>4</v>
      </c>
      <c r="D6" s="7"/>
    </row>
    <row r="7" spans="1:4" x14ac:dyDescent="0.35">
      <c r="A7" s="9">
        <v>1930</v>
      </c>
      <c r="B7" s="7" t="s">
        <v>26</v>
      </c>
      <c r="C7" s="7" t="s">
        <v>4</v>
      </c>
      <c r="D7" s="7"/>
    </row>
    <row r="8" spans="1:4" ht="15" customHeight="1" x14ac:dyDescent="0.35">
      <c r="A8" s="9">
        <v>1930</v>
      </c>
      <c r="B8" s="7" t="s">
        <v>27</v>
      </c>
      <c r="C8" s="7" t="s">
        <v>29</v>
      </c>
      <c r="D8" s="7" t="s">
        <v>30</v>
      </c>
    </row>
    <row r="9" spans="1:4" x14ac:dyDescent="0.35">
      <c r="A9" s="9">
        <v>1930</v>
      </c>
      <c r="B9" s="7" t="s">
        <v>7</v>
      </c>
      <c r="C9" s="7" t="s">
        <v>4</v>
      </c>
      <c r="D9" s="7"/>
    </row>
    <row r="10" spans="1:4" ht="15" customHeight="1" x14ac:dyDescent="0.35">
      <c r="A10" s="9">
        <v>1930</v>
      </c>
      <c r="B10" s="7" t="s">
        <v>8</v>
      </c>
      <c r="C10" s="7" t="s">
        <v>29</v>
      </c>
      <c r="D10" s="7" t="s">
        <v>30</v>
      </c>
    </row>
    <row r="11" spans="1:4" x14ac:dyDescent="0.35">
      <c r="A11" s="9">
        <v>1930</v>
      </c>
      <c r="B11" s="7" t="s">
        <v>9</v>
      </c>
      <c r="C11" s="7" t="s">
        <v>4</v>
      </c>
      <c r="D11" s="7"/>
    </row>
    <row r="12" spans="1:4" ht="15" customHeight="1" x14ac:dyDescent="0.35">
      <c r="A12" s="9">
        <v>1930</v>
      </c>
      <c r="B12" s="7" t="s">
        <v>10</v>
      </c>
      <c r="C12" s="7" t="s">
        <v>31</v>
      </c>
      <c r="D12" s="7"/>
    </row>
    <row r="13" spans="1:4" ht="15" customHeight="1" x14ac:dyDescent="0.35">
      <c r="A13" s="9">
        <v>1930</v>
      </c>
      <c r="B13" s="7" t="s">
        <v>11</v>
      </c>
      <c r="C13" s="7" t="s">
        <v>3</v>
      </c>
      <c r="D13" s="7"/>
    </row>
    <row r="14" spans="1:4" x14ac:dyDescent="0.35">
      <c r="A14" s="9">
        <v>1930</v>
      </c>
      <c r="B14" s="7" t="s">
        <v>12</v>
      </c>
      <c r="C14" s="7" t="s">
        <v>4</v>
      </c>
      <c r="D14" s="7"/>
    </row>
    <row r="15" spans="1:4" x14ac:dyDescent="0.35">
      <c r="A15" s="9">
        <v>1930</v>
      </c>
      <c r="B15" s="7" t="s">
        <v>13</v>
      </c>
      <c r="C15" s="7" t="s">
        <v>4</v>
      </c>
      <c r="D15" s="7"/>
    </row>
    <row r="16" spans="1:4" x14ac:dyDescent="0.35">
      <c r="A16" s="9">
        <v>1930</v>
      </c>
      <c r="B16" s="7" t="s">
        <v>14</v>
      </c>
      <c r="C16" s="7" t="s">
        <v>4</v>
      </c>
      <c r="D16" s="7"/>
    </row>
    <row r="17" spans="1:4" ht="15" customHeight="1" x14ac:dyDescent="0.35">
      <c r="A17" s="9">
        <v>1930</v>
      </c>
      <c r="B17" s="7" t="s">
        <v>15</v>
      </c>
      <c r="C17" s="7" t="s">
        <v>32</v>
      </c>
      <c r="D17" s="7"/>
    </row>
    <row r="18" spans="1:4" x14ac:dyDescent="0.35">
      <c r="A18" s="9">
        <v>1930</v>
      </c>
      <c r="B18" s="7" t="s">
        <v>16</v>
      </c>
      <c r="C18" s="7" t="s">
        <v>4</v>
      </c>
      <c r="D18" s="7"/>
    </row>
    <row r="19" spans="1:4" x14ac:dyDescent="0.35">
      <c r="A19" s="9">
        <v>1930</v>
      </c>
      <c r="B19" s="7" t="s">
        <v>17</v>
      </c>
      <c r="C19" s="7" t="s">
        <v>4</v>
      </c>
      <c r="D19" s="7"/>
    </row>
    <row r="20" spans="1:4" ht="15" customHeight="1" x14ac:dyDescent="0.35">
      <c r="A20" s="9">
        <v>1930</v>
      </c>
      <c r="B20" s="7" t="s">
        <v>18</v>
      </c>
      <c r="C20" s="7" t="s">
        <v>31</v>
      </c>
      <c r="D20" s="7"/>
    </row>
    <row r="21" spans="1:4" x14ac:dyDescent="0.35">
      <c r="A21" s="9">
        <v>1930</v>
      </c>
      <c r="B21" s="7" t="s">
        <v>19</v>
      </c>
      <c r="C21" s="7" t="s">
        <v>4</v>
      </c>
      <c r="D21" s="7"/>
    </row>
    <row r="22" spans="1:4" x14ac:dyDescent="0.35">
      <c r="A22" s="9">
        <v>1930</v>
      </c>
      <c r="B22" s="7" t="s">
        <v>20</v>
      </c>
      <c r="C22" s="7" t="s">
        <v>4</v>
      </c>
      <c r="D22" s="7"/>
    </row>
    <row r="23" spans="1:4" x14ac:dyDescent="0.35">
      <c r="A23" s="9">
        <v>1930</v>
      </c>
      <c r="B23" s="7" t="s">
        <v>21</v>
      </c>
      <c r="C23" s="7" t="s">
        <v>4</v>
      </c>
      <c r="D23" s="7"/>
    </row>
    <row r="24" spans="1:4" x14ac:dyDescent="0.35">
      <c r="A24" s="9">
        <v>1950</v>
      </c>
      <c r="B24" s="7" t="s">
        <v>33</v>
      </c>
      <c r="C24" s="7" t="s">
        <v>4</v>
      </c>
      <c r="D24" s="7"/>
    </row>
    <row r="25" spans="1:4" x14ac:dyDescent="0.35">
      <c r="A25" s="9">
        <v>1950</v>
      </c>
      <c r="B25" s="7" t="s">
        <v>34</v>
      </c>
      <c r="C25" s="7" t="s">
        <v>4</v>
      </c>
      <c r="D25" s="7"/>
    </row>
    <row r="26" spans="1:4" x14ac:dyDescent="0.35">
      <c r="A26" s="9">
        <v>1950</v>
      </c>
      <c r="B26" s="7" t="s">
        <v>35</v>
      </c>
      <c r="C26" s="7" t="s">
        <v>4</v>
      </c>
      <c r="D26" s="7"/>
    </row>
    <row r="27" spans="1:4" x14ac:dyDescent="0.35">
      <c r="A27" s="9">
        <v>1950</v>
      </c>
      <c r="B27" s="7" t="s">
        <v>36</v>
      </c>
      <c r="C27" s="7" t="s">
        <v>4</v>
      </c>
      <c r="D27" s="7"/>
    </row>
    <row r="28" spans="1:4" x14ac:dyDescent="0.35">
      <c r="A28" s="9">
        <v>1950</v>
      </c>
      <c r="B28" s="7" t="s">
        <v>37</v>
      </c>
      <c r="C28" s="7" t="s">
        <v>23</v>
      </c>
      <c r="D28" s="7"/>
    </row>
    <row r="29" spans="1:4" x14ac:dyDescent="0.35">
      <c r="A29" s="9">
        <v>1950</v>
      </c>
      <c r="B29" s="7" t="s">
        <v>38</v>
      </c>
      <c r="C29" s="7" t="s">
        <v>54</v>
      </c>
      <c r="D29" s="7"/>
    </row>
    <row r="30" spans="1:4" x14ac:dyDescent="0.35">
      <c r="A30" s="9">
        <v>1950</v>
      </c>
      <c r="B30" s="7" t="s">
        <v>39</v>
      </c>
      <c r="C30" s="7" t="s">
        <v>4</v>
      </c>
      <c r="D30" s="7"/>
    </row>
    <row r="31" spans="1:4" x14ac:dyDescent="0.35">
      <c r="A31" s="9">
        <v>1950</v>
      </c>
      <c r="B31" s="7" t="s">
        <v>40</v>
      </c>
      <c r="C31" s="7" t="s">
        <v>4</v>
      </c>
      <c r="D31" s="7"/>
    </row>
    <row r="32" spans="1:4" x14ac:dyDescent="0.35">
      <c r="A32" s="9">
        <v>1950</v>
      </c>
      <c r="B32" s="7" t="s">
        <v>41</v>
      </c>
      <c r="C32" s="7" t="s">
        <v>4</v>
      </c>
      <c r="D32" s="7"/>
    </row>
    <row r="33" spans="1:4" x14ac:dyDescent="0.35">
      <c r="A33" s="9">
        <v>1950</v>
      </c>
      <c r="B33" s="7" t="s">
        <v>42</v>
      </c>
      <c r="C33" s="7" t="s">
        <v>4</v>
      </c>
      <c r="D33" s="7"/>
    </row>
    <row r="34" spans="1:4" x14ac:dyDescent="0.35">
      <c r="A34" s="9">
        <v>1950</v>
      </c>
      <c r="B34" s="7" t="s">
        <v>43</v>
      </c>
      <c r="C34" s="7" t="s">
        <v>4</v>
      </c>
      <c r="D34" s="7"/>
    </row>
    <row r="35" spans="1:4" x14ac:dyDescent="0.35">
      <c r="A35" s="9">
        <v>1950</v>
      </c>
      <c r="B35" s="7" t="s">
        <v>44</v>
      </c>
      <c r="C35" s="7" t="s">
        <v>4</v>
      </c>
      <c r="D35" s="7"/>
    </row>
    <row r="36" spans="1:4" x14ac:dyDescent="0.35">
      <c r="A36" s="9">
        <v>1950</v>
      </c>
      <c r="B36" s="7" t="s">
        <v>45</v>
      </c>
      <c r="C36" s="7" t="s">
        <v>4</v>
      </c>
      <c r="D36" s="7"/>
    </row>
    <row r="37" spans="1:4" x14ac:dyDescent="0.35">
      <c r="A37" s="9">
        <v>1950</v>
      </c>
      <c r="B37" s="7" t="s">
        <v>46</v>
      </c>
      <c r="C37" s="7" t="s">
        <v>55</v>
      </c>
      <c r="D37" s="7"/>
    </row>
    <row r="38" spans="1:4" x14ac:dyDescent="0.35">
      <c r="A38" s="9">
        <v>1950</v>
      </c>
      <c r="B38" s="7" t="s">
        <v>47</v>
      </c>
      <c r="C38" s="7" t="s">
        <v>4</v>
      </c>
      <c r="D38" s="7"/>
    </row>
    <row r="39" spans="1:4" x14ac:dyDescent="0.35">
      <c r="A39" s="9">
        <v>1950</v>
      </c>
      <c r="B39" s="7" t="s">
        <v>48</v>
      </c>
      <c r="C39" s="7" t="s">
        <v>4</v>
      </c>
      <c r="D39" s="7"/>
    </row>
    <row r="40" spans="1:4" x14ac:dyDescent="0.35">
      <c r="A40" s="9">
        <v>1950</v>
      </c>
      <c r="B40" s="7" t="s">
        <v>49</v>
      </c>
      <c r="C40" s="7" t="s">
        <v>4</v>
      </c>
      <c r="D40" s="7"/>
    </row>
    <row r="41" spans="1:4" x14ac:dyDescent="0.35">
      <c r="A41" s="9">
        <v>1950</v>
      </c>
      <c r="B41" s="7" t="s">
        <v>62</v>
      </c>
      <c r="C41" s="7" t="s">
        <v>4</v>
      </c>
      <c r="D41" s="7"/>
    </row>
    <row r="42" spans="1:4" x14ac:dyDescent="0.35">
      <c r="A42" s="9">
        <v>1950</v>
      </c>
      <c r="B42" s="7" t="s">
        <v>50</v>
      </c>
      <c r="C42" s="7" t="s">
        <v>4</v>
      </c>
      <c r="D42" s="7"/>
    </row>
    <row r="43" spans="1:4" x14ac:dyDescent="0.35">
      <c r="A43" s="9">
        <v>1950</v>
      </c>
      <c r="B43" s="7" t="s">
        <v>51</v>
      </c>
      <c r="C43" s="7" t="s">
        <v>4</v>
      </c>
      <c r="D43" s="7"/>
    </row>
    <row r="44" spans="1:4" x14ac:dyDescent="0.35">
      <c r="A44" s="9">
        <v>1950</v>
      </c>
      <c r="B44" s="7" t="s">
        <v>52</v>
      </c>
      <c r="C44" s="7" t="s">
        <v>29</v>
      </c>
      <c r="D44" s="7" t="s">
        <v>56</v>
      </c>
    </row>
    <row r="45" spans="1:4" x14ac:dyDescent="0.35">
      <c r="A45" s="9">
        <v>1950</v>
      </c>
      <c r="B45" s="7" t="s">
        <v>53</v>
      </c>
      <c r="C45" s="7" t="s">
        <v>4</v>
      </c>
      <c r="D45" s="7"/>
    </row>
    <row r="46" spans="1:4" x14ac:dyDescent="0.35">
      <c r="A46" s="9">
        <v>1954</v>
      </c>
      <c r="B46" s="7" t="s">
        <v>40</v>
      </c>
      <c r="C46" s="7" t="s">
        <v>4</v>
      </c>
      <c r="D46" s="7"/>
    </row>
    <row r="47" spans="1:4" x14ac:dyDescent="0.35">
      <c r="A47" s="9">
        <v>1954</v>
      </c>
      <c r="B47" s="7" t="s">
        <v>57</v>
      </c>
      <c r="C47" s="7" t="s">
        <v>4</v>
      </c>
      <c r="D47" s="7"/>
    </row>
    <row r="48" spans="1:4" x14ac:dyDescent="0.35">
      <c r="A48" s="9">
        <v>1954</v>
      </c>
      <c r="B48" s="7" t="s">
        <v>39</v>
      </c>
      <c r="C48" s="7" t="s">
        <v>4</v>
      </c>
      <c r="D48" s="7"/>
    </row>
    <row r="49" spans="1:4" x14ac:dyDescent="0.35">
      <c r="A49" s="9">
        <v>1954</v>
      </c>
      <c r="B49" s="7" t="s">
        <v>48</v>
      </c>
      <c r="C49" s="7" t="s">
        <v>4</v>
      </c>
      <c r="D49" s="7"/>
    </row>
    <row r="50" spans="1:4" x14ac:dyDescent="0.35">
      <c r="A50" s="9">
        <v>1954</v>
      </c>
      <c r="B50" s="7" t="s">
        <v>51</v>
      </c>
      <c r="C50" s="7" t="s">
        <v>4</v>
      </c>
      <c r="D50" s="7"/>
    </row>
    <row r="51" spans="1:4" x14ac:dyDescent="0.35">
      <c r="A51" s="9">
        <v>1954</v>
      </c>
      <c r="B51" s="7" t="s">
        <v>58</v>
      </c>
      <c r="C51" s="7" t="s">
        <v>4</v>
      </c>
      <c r="D51" s="7"/>
    </row>
    <row r="52" spans="1:4" x14ac:dyDescent="0.35">
      <c r="A52" s="9">
        <v>1954</v>
      </c>
      <c r="B52" s="10" t="s">
        <v>59</v>
      </c>
      <c r="C52" s="7" t="s">
        <v>31</v>
      </c>
      <c r="D52" s="7"/>
    </row>
    <row r="53" spans="1:4" x14ac:dyDescent="0.35">
      <c r="A53" s="9">
        <v>1954</v>
      </c>
      <c r="B53" s="7" t="s">
        <v>60</v>
      </c>
      <c r="C53" s="7" t="s">
        <v>29</v>
      </c>
      <c r="D53" s="7" t="s">
        <v>61</v>
      </c>
    </row>
    <row r="54" spans="1:4" x14ac:dyDescent="0.35">
      <c r="A54" s="9">
        <v>1954</v>
      </c>
      <c r="B54" s="7" t="s">
        <v>41</v>
      </c>
      <c r="C54" s="7" t="s">
        <v>4</v>
      </c>
      <c r="D54" s="7"/>
    </row>
    <row r="55" spans="1:4" x14ac:dyDescent="0.35">
      <c r="A55" s="9">
        <v>1954</v>
      </c>
      <c r="B55" s="7" t="s">
        <v>62</v>
      </c>
      <c r="C55" s="7" t="s">
        <v>4</v>
      </c>
      <c r="D55" s="7"/>
    </row>
    <row r="56" spans="1:4" x14ac:dyDescent="0.35">
      <c r="A56" s="9">
        <v>1954</v>
      </c>
      <c r="B56" s="7" t="s">
        <v>63</v>
      </c>
      <c r="C56" s="7" t="s">
        <v>4</v>
      </c>
      <c r="D56" s="7"/>
    </row>
    <row r="57" spans="1:4" x14ac:dyDescent="0.35">
      <c r="A57" s="9">
        <v>1954</v>
      </c>
      <c r="B57" s="7" t="s">
        <v>64</v>
      </c>
      <c r="C57" s="7" t="s">
        <v>4</v>
      </c>
      <c r="D57" s="7"/>
    </row>
    <row r="58" spans="1:4" x14ac:dyDescent="0.35">
      <c r="A58" s="9">
        <v>1954</v>
      </c>
      <c r="B58" s="7" t="s">
        <v>65</v>
      </c>
      <c r="C58" s="7" t="s">
        <v>4</v>
      </c>
      <c r="D58" s="7"/>
    </row>
    <row r="59" spans="1:4" x14ac:dyDescent="0.35">
      <c r="A59" s="9">
        <v>1954</v>
      </c>
      <c r="B59" s="7" t="s">
        <v>50</v>
      </c>
      <c r="C59" s="7" t="s">
        <v>4</v>
      </c>
      <c r="D59" s="7"/>
    </row>
    <row r="60" spans="1:4" x14ac:dyDescent="0.35">
      <c r="A60" s="9">
        <v>1954</v>
      </c>
      <c r="B60" s="7" t="s">
        <v>66</v>
      </c>
      <c r="C60" s="7" t="s">
        <v>4</v>
      </c>
      <c r="D60" s="7"/>
    </row>
    <row r="61" spans="1:4" x14ac:dyDescent="0.35">
      <c r="A61" s="9">
        <v>1954</v>
      </c>
      <c r="B61" s="7" t="s">
        <v>67</v>
      </c>
      <c r="C61" s="7" t="s">
        <v>4</v>
      </c>
      <c r="D61" s="7"/>
    </row>
    <row r="62" spans="1:4" x14ac:dyDescent="0.35">
      <c r="A62" s="9">
        <v>1954</v>
      </c>
      <c r="B62" s="7" t="s">
        <v>68</v>
      </c>
      <c r="C62" s="7" t="s">
        <v>4</v>
      </c>
      <c r="D62" s="7"/>
    </row>
    <row r="63" spans="1:4" x14ac:dyDescent="0.35">
      <c r="A63" s="9">
        <v>1954</v>
      </c>
      <c r="B63" s="7" t="s">
        <v>69</v>
      </c>
      <c r="C63" s="7" t="s">
        <v>4</v>
      </c>
      <c r="D63" s="7"/>
    </row>
    <row r="64" spans="1:4" x14ac:dyDescent="0.35">
      <c r="A64" s="9">
        <v>1954</v>
      </c>
      <c r="B64" s="7" t="s">
        <v>70</v>
      </c>
      <c r="C64" s="7" t="s">
        <v>4</v>
      </c>
      <c r="D64" s="7"/>
    </row>
    <row r="65" spans="1:4" x14ac:dyDescent="0.35">
      <c r="A65" s="9">
        <v>1954</v>
      </c>
      <c r="B65" s="7" t="s">
        <v>71</v>
      </c>
      <c r="C65" s="7" t="s">
        <v>72</v>
      </c>
      <c r="D65" s="7"/>
    </row>
    <row r="66" spans="1:4" x14ac:dyDescent="0.35">
      <c r="A66" s="9">
        <v>1954</v>
      </c>
      <c r="B66" s="7" t="s">
        <v>45</v>
      </c>
      <c r="C66" s="7" t="s">
        <v>4</v>
      </c>
      <c r="D66" s="7"/>
    </row>
    <row r="67" spans="1:4" x14ac:dyDescent="0.35">
      <c r="A67" s="9">
        <v>1954</v>
      </c>
      <c r="B67" s="7" t="s">
        <v>73</v>
      </c>
      <c r="C67" s="7" t="s">
        <v>4</v>
      </c>
      <c r="D67" s="7"/>
    </row>
    <row r="68" spans="1:4" x14ac:dyDescent="0.35">
      <c r="A68" s="9">
        <v>1966</v>
      </c>
      <c r="B68" s="7" t="s">
        <v>74</v>
      </c>
      <c r="C68" s="7" t="s">
        <v>75</v>
      </c>
      <c r="D68" s="7"/>
    </row>
    <row r="69" spans="1:4" x14ac:dyDescent="0.35">
      <c r="A69" s="9">
        <v>1966</v>
      </c>
      <c r="B69" s="7" t="s">
        <v>76</v>
      </c>
      <c r="C69" s="7" t="s">
        <v>23</v>
      </c>
      <c r="D69" s="7"/>
    </row>
    <row r="70" spans="1:4" x14ac:dyDescent="0.35">
      <c r="A70" s="9">
        <v>1966</v>
      </c>
      <c r="B70" s="7" t="s">
        <v>77</v>
      </c>
      <c r="C70" s="7" t="s">
        <v>4</v>
      </c>
      <c r="D70" s="7"/>
    </row>
    <row r="71" spans="1:4" x14ac:dyDescent="0.35">
      <c r="A71" s="9">
        <v>1966</v>
      </c>
      <c r="B71" s="7" t="s">
        <v>78</v>
      </c>
      <c r="C71" s="7" t="s">
        <v>79</v>
      </c>
      <c r="D71" s="7"/>
    </row>
    <row r="72" spans="1:4" x14ac:dyDescent="0.35">
      <c r="A72" s="9">
        <v>1966</v>
      </c>
      <c r="B72" s="7" t="s">
        <v>80</v>
      </c>
      <c r="C72" s="7" t="s">
        <v>54</v>
      </c>
      <c r="D72" s="7"/>
    </row>
    <row r="73" spans="1:4" x14ac:dyDescent="0.35">
      <c r="A73" s="9">
        <v>1966</v>
      </c>
      <c r="B73" s="7" t="s">
        <v>81</v>
      </c>
      <c r="C73" s="7" t="s">
        <v>4</v>
      </c>
      <c r="D73" s="7"/>
    </row>
    <row r="74" spans="1:4" x14ac:dyDescent="0.35">
      <c r="A74" s="9">
        <v>1966</v>
      </c>
      <c r="B74" s="7" t="s">
        <v>82</v>
      </c>
      <c r="C74" s="7" t="s">
        <v>72</v>
      </c>
      <c r="D74" s="7"/>
    </row>
    <row r="75" spans="1:4" x14ac:dyDescent="0.35">
      <c r="A75" s="9">
        <v>1966</v>
      </c>
      <c r="B75" s="7" t="s">
        <v>83</v>
      </c>
      <c r="C75" s="7" t="s">
        <v>4</v>
      </c>
      <c r="D75" s="7"/>
    </row>
    <row r="76" spans="1:4" x14ac:dyDescent="0.35">
      <c r="A76" s="9">
        <v>1966</v>
      </c>
      <c r="B76" s="7" t="s">
        <v>84</v>
      </c>
      <c r="C76" s="7" t="s">
        <v>85</v>
      </c>
      <c r="D76" s="7"/>
    </row>
    <row r="77" spans="1:4" x14ac:dyDescent="0.35">
      <c r="A77" s="9">
        <v>1966</v>
      </c>
      <c r="B77" s="7" t="s">
        <v>86</v>
      </c>
      <c r="C77" s="7" t="s">
        <v>3</v>
      </c>
      <c r="D77" s="7"/>
    </row>
    <row r="78" spans="1:4" x14ac:dyDescent="0.35">
      <c r="A78" s="9">
        <v>1966</v>
      </c>
      <c r="B78" s="7" t="s">
        <v>87</v>
      </c>
      <c r="C78" s="7" t="s">
        <v>88</v>
      </c>
      <c r="D78" s="7"/>
    </row>
    <row r="79" spans="1:4" x14ac:dyDescent="0.35">
      <c r="A79" s="9">
        <v>1966</v>
      </c>
      <c r="B79" s="7" t="s">
        <v>89</v>
      </c>
      <c r="C79" s="7" t="s">
        <v>75</v>
      </c>
      <c r="D79" s="7"/>
    </row>
    <row r="80" spans="1:4" x14ac:dyDescent="0.35">
      <c r="A80" s="9">
        <v>1966</v>
      </c>
      <c r="B80" s="7" t="s">
        <v>90</v>
      </c>
      <c r="C80" s="7" t="s">
        <v>4</v>
      </c>
      <c r="D80" s="7"/>
    </row>
    <row r="81" spans="1:4" x14ac:dyDescent="0.35">
      <c r="A81" s="9">
        <v>1966</v>
      </c>
      <c r="B81" s="7" t="s">
        <v>91</v>
      </c>
      <c r="C81" s="7" t="s">
        <v>4</v>
      </c>
      <c r="D81" s="7"/>
    </row>
    <row r="82" spans="1:4" x14ac:dyDescent="0.35">
      <c r="A82" s="9">
        <v>1966</v>
      </c>
      <c r="B82" s="7" t="s">
        <v>92</v>
      </c>
      <c r="C82" s="7" t="s">
        <v>4</v>
      </c>
      <c r="D82" s="7"/>
    </row>
    <row r="83" spans="1:4" x14ac:dyDescent="0.35">
      <c r="A83" s="9">
        <v>1966</v>
      </c>
      <c r="B83" s="7" t="s">
        <v>93</v>
      </c>
      <c r="C83" s="7" t="s">
        <v>29</v>
      </c>
      <c r="D83" s="7" t="s">
        <v>94</v>
      </c>
    </row>
    <row r="84" spans="1:4" x14ac:dyDescent="0.35">
      <c r="A84" s="9">
        <v>1966</v>
      </c>
      <c r="B84" s="7" t="s">
        <v>95</v>
      </c>
      <c r="C84" s="7" t="s">
        <v>4</v>
      </c>
      <c r="D84" s="7"/>
    </row>
    <row r="85" spans="1:4" x14ac:dyDescent="0.35">
      <c r="A85" s="9">
        <v>1966</v>
      </c>
      <c r="B85" s="7" t="s">
        <v>96</v>
      </c>
      <c r="C85" s="7" t="s">
        <v>97</v>
      </c>
      <c r="D85" s="7"/>
    </row>
    <row r="86" spans="1:4" x14ac:dyDescent="0.35">
      <c r="A86" s="9">
        <v>1966</v>
      </c>
      <c r="B86" s="7" t="s">
        <v>98</v>
      </c>
      <c r="C86" s="7" t="s">
        <v>4</v>
      </c>
      <c r="D86" s="7"/>
    </row>
    <row r="87" spans="1:4" x14ac:dyDescent="0.35">
      <c r="A87" s="9">
        <v>1966</v>
      </c>
      <c r="B87" s="7" t="s">
        <v>99</v>
      </c>
      <c r="C87" s="7" t="s">
        <v>4</v>
      </c>
      <c r="D87" s="7"/>
    </row>
    <row r="88" spans="1:4" x14ac:dyDescent="0.35">
      <c r="A88" s="9">
        <v>1966</v>
      </c>
      <c r="B88" s="7" t="s">
        <v>100</v>
      </c>
      <c r="C88" s="7" t="s">
        <v>4</v>
      </c>
      <c r="D88" s="7"/>
    </row>
    <row r="89" spans="1:4" x14ac:dyDescent="0.35">
      <c r="A89" s="9">
        <v>1966</v>
      </c>
      <c r="B89" s="7" t="s">
        <v>101</v>
      </c>
      <c r="C89" s="7" t="s">
        <v>4</v>
      </c>
      <c r="D89" s="7"/>
    </row>
    <row r="90" spans="1:4" x14ac:dyDescent="0.35">
      <c r="A90" s="9">
        <v>1970</v>
      </c>
      <c r="B90" s="7" t="s">
        <v>74</v>
      </c>
      <c r="C90" s="7" t="s">
        <v>75</v>
      </c>
      <c r="D90" s="7"/>
    </row>
    <row r="91" spans="1:4" x14ac:dyDescent="0.35">
      <c r="A91" s="9">
        <v>1970</v>
      </c>
      <c r="B91" s="7" t="s">
        <v>102</v>
      </c>
      <c r="C91" s="7" t="s">
        <v>103</v>
      </c>
      <c r="D91" s="7"/>
    </row>
    <row r="92" spans="1:4" x14ac:dyDescent="0.35">
      <c r="A92" s="9">
        <v>1970</v>
      </c>
      <c r="B92" s="7" t="s">
        <v>104</v>
      </c>
      <c r="C92" s="7" t="s">
        <v>79</v>
      </c>
      <c r="D92" s="7"/>
    </row>
    <row r="93" spans="1:4" x14ac:dyDescent="0.35">
      <c r="A93" s="9">
        <v>1970</v>
      </c>
      <c r="B93" s="7" t="s">
        <v>92</v>
      </c>
      <c r="C93" s="7" t="s">
        <v>4</v>
      </c>
      <c r="D93" s="7"/>
    </row>
    <row r="94" spans="1:4" x14ac:dyDescent="0.35">
      <c r="A94" s="9">
        <v>1970</v>
      </c>
      <c r="B94" s="7" t="s">
        <v>105</v>
      </c>
      <c r="C94" s="7" t="s">
        <v>4</v>
      </c>
      <c r="D94" s="7"/>
    </row>
    <row r="95" spans="1:4" x14ac:dyDescent="0.35">
      <c r="A95" s="9">
        <v>1970</v>
      </c>
      <c r="B95" s="7" t="s">
        <v>107</v>
      </c>
      <c r="C95" s="7" t="s">
        <v>88</v>
      </c>
      <c r="D95" s="7"/>
    </row>
    <row r="96" spans="1:4" x14ac:dyDescent="0.35">
      <c r="A96" s="9">
        <v>1970</v>
      </c>
      <c r="B96" s="7" t="s">
        <v>106</v>
      </c>
      <c r="C96" s="7" t="s">
        <v>88</v>
      </c>
      <c r="D96" s="7"/>
    </row>
    <row r="97" spans="1:4" x14ac:dyDescent="0.35">
      <c r="A97" s="9">
        <v>1970</v>
      </c>
      <c r="B97" s="7" t="s">
        <v>86</v>
      </c>
      <c r="C97" s="7" t="s">
        <v>3</v>
      </c>
      <c r="D97" s="7"/>
    </row>
    <row r="98" spans="1:4" x14ac:dyDescent="0.35">
      <c r="A98" s="9">
        <v>1970</v>
      </c>
      <c r="B98" s="7" t="s">
        <v>100</v>
      </c>
      <c r="C98" s="7" t="s">
        <v>4</v>
      </c>
      <c r="D98" s="7"/>
    </row>
    <row r="99" spans="1:4" x14ac:dyDescent="0.35">
      <c r="A99" s="9">
        <v>1970</v>
      </c>
      <c r="B99" s="7" t="s">
        <v>108</v>
      </c>
      <c r="C99" s="7" t="s">
        <v>79</v>
      </c>
      <c r="D99" s="7"/>
    </row>
    <row r="100" spans="1:4" x14ac:dyDescent="0.35">
      <c r="A100" s="9">
        <v>1970</v>
      </c>
      <c r="B100" s="7" t="s">
        <v>109</v>
      </c>
      <c r="C100" s="7" t="s">
        <v>4</v>
      </c>
      <c r="D100" s="7"/>
    </row>
    <row r="101" spans="1:4" x14ac:dyDescent="0.35">
      <c r="A101" s="9">
        <v>1970</v>
      </c>
      <c r="B101" s="7" t="s">
        <v>110</v>
      </c>
      <c r="C101" s="7" t="s">
        <v>4</v>
      </c>
      <c r="D101" s="7"/>
    </row>
    <row r="102" spans="1:4" x14ac:dyDescent="0.35">
      <c r="A102" s="9">
        <v>1970</v>
      </c>
      <c r="B102" s="7" t="s">
        <v>111</v>
      </c>
      <c r="C102" s="7" t="s">
        <v>4</v>
      </c>
      <c r="D102" s="7"/>
    </row>
    <row r="103" spans="1:4" x14ac:dyDescent="0.35">
      <c r="A103" s="9">
        <v>1970</v>
      </c>
      <c r="B103" s="7" t="s">
        <v>112</v>
      </c>
      <c r="C103" s="7" t="s">
        <v>4</v>
      </c>
      <c r="D103" s="7"/>
    </row>
    <row r="104" spans="1:4" x14ac:dyDescent="0.35">
      <c r="A104" s="9">
        <v>1970</v>
      </c>
      <c r="B104" s="7" t="s">
        <v>113</v>
      </c>
      <c r="C104" s="7" t="s">
        <v>75</v>
      </c>
      <c r="D104" s="7"/>
    </row>
    <row r="105" spans="1:4" x14ac:dyDescent="0.35">
      <c r="A105" s="9">
        <v>1970</v>
      </c>
      <c r="B105" s="7" t="s">
        <v>81</v>
      </c>
      <c r="C105" s="7" t="s">
        <v>4</v>
      </c>
      <c r="D105" s="7"/>
    </row>
    <row r="106" spans="1:4" x14ac:dyDescent="0.35">
      <c r="A106" s="9">
        <v>1970</v>
      </c>
      <c r="B106" s="7" t="s">
        <v>114</v>
      </c>
      <c r="C106" s="7" t="s">
        <v>31</v>
      </c>
      <c r="D106" s="7"/>
    </row>
    <row r="107" spans="1:4" x14ac:dyDescent="0.35">
      <c r="A107" s="9">
        <v>1970</v>
      </c>
      <c r="B107" s="7" t="s">
        <v>115</v>
      </c>
      <c r="C107" s="11" t="s">
        <v>117</v>
      </c>
      <c r="D107" s="7"/>
    </row>
    <row r="108" spans="1:4" x14ac:dyDescent="0.35">
      <c r="A108" s="9">
        <v>1970</v>
      </c>
      <c r="B108" s="7" t="s">
        <v>116</v>
      </c>
      <c r="C108" s="7" t="s">
        <v>4</v>
      </c>
      <c r="D108" s="7"/>
    </row>
    <row r="109" spans="1:4" x14ac:dyDescent="0.35">
      <c r="A109" s="9">
        <v>1970</v>
      </c>
      <c r="B109" s="7" t="s">
        <v>82</v>
      </c>
      <c r="C109" s="7" t="s">
        <v>72</v>
      </c>
      <c r="D109" s="7"/>
    </row>
    <row r="110" spans="1:4" x14ac:dyDescent="0.35">
      <c r="A110" s="9">
        <v>1970</v>
      </c>
      <c r="B110" s="7" t="s">
        <v>118</v>
      </c>
      <c r="C110" s="11" t="s">
        <v>117</v>
      </c>
      <c r="D110" s="7"/>
    </row>
    <row r="111" spans="1:4" x14ac:dyDescent="0.35">
      <c r="A111" s="9">
        <v>1970</v>
      </c>
      <c r="B111" s="7" t="s">
        <v>119</v>
      </c>
      <c r="C111" s="7" t="s">
        <v>4</v>
      </c>
      <c r="D111" s="7"/>
    </row>
    <row r="112" spans="1:4" x14ac:dyDescent="0.35">
      <c r="A112" s="9">
        <v>1974</v>
      </c>
      <c r="B112" s="7" t="s">
        <v>74</v>
      </c>
      <c r="C112" s="7" t="s">
        <v>75</v>
      </c>
      <c r="D112" s="7"/>
    </row>
    <row r="113" spans="1:4" x14ac:dyDescent="0.35">
      <c r="A113" s="9">
        <v>1974</v>
      </c>
      <c r="B113" s="7" t="s">
        <v>120</v>
      </c>
      <c r="C113" s="7" t="s">
        <v>121</v>
      </c>
      <c r="D113" s="7"/>
    </row>
    <row r="114" spans="1:4" x14ac:dyDescent="0.35">
      <c r="A114" s="9">
        <v>1974</v>
      </c>
      <c r="B114" s="7" t="s">
        <v>122</v>
      </c>
      <c r="C114" s="7" t="s">
        <v>79</v>
      </c>
      <c r="D114" s="7"/>
    </row>
    <row r="115" spans="1:4" x14ac:dyDescent="0.35">
      <c r="A115" s="9">
        <v>1974</v>
      </c>
      <c r="B115" s="7" t="s">
        <v>123</v>
      </c>
      <c r="C115" s="7" t="s">
        <v>79</v>
      </c>
      <c r="D115" s="7"/>
    </row>
    <row r="116" spans="1:4" x14ac:dyDescent="0.35">
      <c r="A116" s="9">
        <v>1974</v>
      </c>
      <c r="B116" s="7" t="s">
        <v>124</v>
      </c>
      <c r="C116" s="7" t="s">
        <v>4</v>
      </c>
      <c r="D116" s="7"/>
    </row>
    <row r="117" spans="1:4" x14ac:dyDescent="0.35">
      <c r="A117" s="9">
        <v>1974</v>
      </c>
      <c r="B117" s="7" t="s">
        <v>125</v>
      </c>
      <c r="C117" s="7" t="s">
        <v>4</v>
      </c>
      <c r="D117" s="7"/>
    </row>
    <row r="118" spans="1:4" x14ac:dyDescent="0.35">
      <c r="A118" s="9">
        <v>1974</v>
      </c>
      <c r="B118" s="7" t="s">
        <v>126</v>
      </c>
      <c r="C118" s="7" t="s">
        <v>88</v>
      </c>
      <c r="D118" s="7"/>
    </row>
    <row r="119" spans="1:4" x14ac:dyDescent="0.35">
      <c r="A119" s="9">
        <v>1974</v>
      </c>
      <c r="B119" s="7" t="s">
        <v>100</v>
      </c>
      <c r="C119" s="7" t="s">
        <v>4</v>
      </c>
      <c r="D119" s="7"/>
    </row>
    <row r="120" spans="1:4" x14ac:dyDescent="0.35">
      <c r="A120" s="9">
        <v>1974</v>
      </c>
      <c r="B120" s="7" t="s">
        <v>127</v>
      </c>
      <c r="C120" s="7" t="s">
        <v>4</v>
      </c>
      <c r="D120" s="7"/>
    </row>
    <row r="121" spans="1:4" x14ac:dyDescent="0.35">
      <c r="A121" s="9">
        <v>1974</v>
      </c>
      <c r="B121" s="7" t="s">
        <v>128</v>
      </c>
      <c r="C121" s="7" t="s">
        <v>3</v>
      </c>
      <c r="D121" s="7"/>
    </row>
    <row r="122" spans="1:4" x14ac:dyDescent="0.35">
      <c r="A122" s="9">
        <v>1974</v>
      </c>
      <c r="B122" s="7" t="s">
        <v>129</v>
      </c>
      <c r="C122" s="11" t="s">
        <v>117</v>
      </c>
      <c r="D122" s="7"/>
    </row>
    <row r="123" spans="1:4" x14ac:dyDescent="0.35">
      <c r="A123" s="9">
        <v>1974</v>
      </c>
      <c r="B123" s="7" t="s">
        <v>110</v>
      </c>
      <c r="C123" s="7" t="s">
        <v>4</v>
      </c>
      <c r="D123" s="7"/>
    </row>
    <row r="124" spans="1:4" x14ac:dyDescent="0.35">
      <c r="A124" s="9">
        <v>1974</v>
      </c>
      <c r="B124" s="7" t="s">
        <v>130</v>
      </c>
      <c r="C124" s="7" t="s">
        <v>4</v>
      </c>
      <c r="D124" s="7"/>
    </row>
    <row r="125" spans="1:4" x14ac:dyDescent="0.35">
      <c r="A125" s="9">
        <v>1974</v>
      </c>
      <c r="B125" s="7" t="s">
        <v>131</v>
      </c>
      <c r="C125" s="7" t="s">
        <v>4</v>
      </c>
      <c r="D125" s="7"/>
    </row>
    <row r="126" spans="1:4" x14ac:dyDescent="0.35">
      <c r="A126" s="9">
        <v>1974</v>
      </c>
      <c r="B126" s="7" t="s">
        <v>132</v>
      </c>
      <c r="C126" s="7" t="s">
        <v>4</v>
      </c>
      <c r="D126" s="7"/>
    </row>
    <row r="127" spans="1:4" x14ac:dyDescent="0.35">
      <c r="A127" s="9">
        <v>1974</v>
      </c>
      <c r="B127" s="7" t="s">
        <v>133</v>
      </c>
      <c r="C127" s="7" t="s">
        <v>4</v>
      </c>
      <c r="D127" s="7"/>
    </row>
    <row r="128" spans="1:4" x14ac:dyDescent="0.35">
      <c r="A128" s="9">
        <v>1974</v>
      </c>
      <c r="B128" s="7" t="s">
        <v>134</v>
      </c>
      <c r="C128" s="7" t="s">
        <v>54</v>
      </c>
      <c r="D128" s="7"/>
    </row>
    <row r="129" spans="1:4" x14ac:dyDescent="0.35">
      <c r="A129" s="9">
        <v>1974</v>
      </c>
      <c r="B129" s="7" t="s">
        <v>135</v>
      </c>
      <c r="C129" s="7" t="s">
        <v>4</v>
      </c>
      <c r="D129" s="7"/>
    </row>
    <row r="130" spans="1:4" x14ac:dyDescent="0.35">
      <c r="A130" s="9">
        <v>1974</v>
      </c>
      <c r="B130" s="7" t="s">
        <v>137</v>
      </c>
      <c r="C130" s="7" t="s">
        <v>136</v>
      </c>
      <c r="D130" s="7"/>
    </row>
    <row r="131" spans="1:4" x14ac:dyDescent="0.35">
      <c r="A131" s="9">
        <v>1974</v>
      </c>
      <c r="B131" s="7" t="s">
        <v>138</v>
      </c>
      <c r="C131" s="7" t="s">
        <v>121</v>
      </c>
      <c r="D131" s="7"/>
    </row>
    <row r="132" spans="1:4" x14ac:dyDescent="0.35">
      <c r="A132" s="9">
        <v>1974</v>
      </c>
      <c r="B132" s="7" t="s">
        <v>139</v>
      </c>
      <c r="C132" s="7" t="s">
        <v>4</v>
      </c>
      <c r="D132" s="7"/>
    </row>
    <row r="133" spans="1:4" x14ac:dyDescent="0.35">
      <c r="A133" s="9">
        <v>1974</v>
      </c>
      <c r="B133" s="7" t="s">
        <v>140</v>
      </c>
      <c r="C133" s="7" t="s">
        <v>4</v>
      </c>
      <c r="D133" s="7"/>
    </row>
    <row r="134" spans="1:4" x14ac:dyDescent="0.35">
      <c r="A134" s="9">
        <v>1986</v>
      </c>
      <c r="B134" s="7" t="s">
        <v>141</v>
      </c>
      <c r="C134" s="7" t="s">
        <v>4</v>
      </c>
      <c r="D134" s="7"/>
    </row>
    <row r="135" spans="1:4" x14ac:dyDescent="0.35">
      <c r="A135" s="9">
        <v>1986</v>
      </c>
      <c r="B135" s="7" t="s">
        <v>142</v>
      </c>
      <c r="C135" s="7" t="s">
        <v>4</v>
      </c>
      <c r="D135" s="7"/>
    </row>
    <row r="136" spans="1:4" x14ac:dyDescent="0.35">
      <c r="A136" s="9">
        <v>1986</v>
      </c>
      <c r="B136" s="7" t="s">
        <v>143</v>
      </c>
      <c r="C136" s="7" t="s">
        <v>4</v>
      </c>
      <c r="D136" s="7"/>
    </row>
    <row r="137" spans="1:4" x14ac:dyDescent="0.35">
      <c r="A137" s="9">
        <v>1986</v>
      </c>
      <c r="B137" s="7" t="s">
        <v>144</v>
      </c>
      <c r="C137" s="7" t="s">
        <v>4</v>
      </c>
      <c r="D137" s="7"/>
    </row>
    <row r="138" spans="1:4" x14ac:dyDescent="0.35">
      <c r="A138" s="9">
        <v>1986</v>
      </c>
      <c r="B138" s="7" t="s">
        <v>145</v>
      </c>
      <c r="C138" s="7" t="s">
        <v>31</v>
      </c>
      <c r="D138" s="7"/>
    </row>
    <row r="139" spans="1:4" x14ac:dyDescent="0.35">
      <c r="A139" s="9">
        <v>1986</v>
      </c>
      <c r="B139" s="7" t="s">
        <v>146</v>
      </c>
      <c r="C139" s="7" t="s">
        <v>4</v>
      </c>
      <c r="D139" s="7"/>
    </row>
    <row r="140" spans="1:4" x14ac:dyDescent="0.35">
      <c r="A140" s="9">
        <v>1986</v>
      </c>
      <c r="B140" s="7" t="s">
        <v>147</v>
      </c>
      <c r="C140" s="7" t="s">
        <v>54</v>
      </c>
      <c r="D140" s="7"/>
    </row>
    <row r="141" spans="1:4" x14ac:dyDescent="0.35">
      <c r="A141" s="9">
        <v>1986</v>
      </c>
      <c r="B141" s="7" t="s">
        <v>148</v>
      </c>
      <c r="C141" s="7" t="s">
        <v>4</v>
      </c>
      <c r="D141" s="7"/>
    </row>
    <row r="142" spans="1:4" x14ac:dyDescent="0.35">
      <c r="A142" s="9">
        <v>1986</v>
      </c>
      <c r="B142" s="7" t="s">
        <v>149</v>
      </c>
      <c r="C142" s="7" t="s">
        <v>3</v>
      </c>
      <c r="D142" s="7"/>
    </row>
    <row r="143" spans="1:4" x14ac:dyDescent="0.35">
      <c r="A143" s="9">
        <v>1986</v>
      </c>
      <c r="B143" s="7" t="s">
        <v>150</v>
      </c>
      <c r="C143" s="7" t="s">
        <v>4</v>
      </c>
      <c r="D143" s="7"/>
    </row>
    <row r="144" spans="1:4" x14ac:dyDescent="0.35">
      <c r="A144" s="9">
        <v>1986</v>
      </c>
      <c r="B144" s="7" t="s">
        <v>151</v>
      </c>
      <c r="C144" s="7" t="s">
        <v>4</v>
      </c>
      <c r="D144" s="7"/>
    </row>
    <row r="145" spans="1:4" x14ac:dyDescent="0.35">
      <c r="A145" s="9">
        <v>1986</v>
      </c>
      <c r="B145" s="7" t="s">
        <v>152</v>
      </c>
      <c r="C145" s="7" t="s">
        <v>85</v>
      </c>
      <c r="D145" s="7"/>
    </row>
    <row r="146" spans="1:4" x14ac:dyDescent="0.35">
      <c r="A146" s="9">
        <v>1986</v>
      </c>
      <c r="B146" s="7" t="s">
        <v>153</v>
      </c>
      <c r="C146" s="7" t="s">
        <v>31</v>
      </c>
      <c r="D146" s="7"/>
    </row>
    <row r="147" spans="1:4" x14ac:dyDescent="0.35">
      <c r="A147" s="9">
        <v>1986</v>
      </c>
      <c r="B147" s="7" t="s">
        <v>154</v>
      </c>
      <c r="C147" s="7" t="s">
        <v>4</v>
      </c>
      <c r="D147" s="7"/>
    </row>
    <row r="148" spans="1:4" x14ac:dyDescent="0.35">
      <c r="A148" s="9">
        <v>1986</v>
      </c>
      <c r="B148" s="7" t="s">
        <v>155</v>
      </c>
      <c r="C148" s="7" t="s">
        <v>54</v>
      </c>
      <c r="D148" s="7"/>
    </row>
    <row r="149" spans="1:4" x14ac:dyDescent="0.35">
      <c r="A149" s="9">
        <v>1986</v>
      </c>
      <c r="B149" s="7" t="s">
        <v>156</v>
      </c>
      <c r="C149" s="7" t="s">
        <v>23</v>
      </c>
      <c r="D149" s="7"/>
    </row>
    <row r="150" spans="1:4" x14ac:dyDescent="0.35">
      <c r="A150" s="9">
        <v>1986</v>
      </c>
      <c r="B150" s="7" t="s">
        <v>157</v>
      </c>
      <c r="C150" s="7" t="s">
        <v>31</v>
      </c>
      <c r="D150" s="7"/>
    </row>
    <row r="151" spans="1:4" x14ac:dyDescent="0.35">
      <c r="A151" s="9">
        <v>1986</v>
      </c>
      <c r="B151" s="7" t="s">
        <v>158</v>
      </c>
      <c r="C151" s="7" t="s">
        <v>4</v>
      </c>
      <c r="D151" s="7"/>
    </row>
    <row r="152" spans="1:4" x14ac:dyDescent="0.35">
      <c r="A152" s="9">
        <v>1990</v>
      </c>
      <c r="B152" s="7" t="s">
        <v>159</v>
      </c>
      <c r="C152" s="7" t="s">
        <v>4</v>
      </c>
      <c r="D152" s="7"/>
    </row>
    <row r="153" spans="1:4" x14ac:dyDescent="0.35">
      <c r="A153" s="9">
        <v>1990</v>
      </c>
      <c r="B153" s="7" t="s">
        <v>142</v>
      </c>
      <c r="C153" s="7" t="s">
        <v>4</v>
      </c>
      <c r="D153" s="7"/>
    </row>
    <row r="154" spans="1:4" x14ac:dyDescent="0.35">
      <c r="A154" s="9">
        <v>1990</v>
      </c>
      <c r="B154" s="7" t="s">
        <v>160</v>
      </c>
      <c r="C154" s="7" t="s">
        <v>161</v>
      </c>
      <c r="D154" s="7"/>
    </row>
    <row r="155" spans="1:4" x14ac:dyDescent="0.35">
      <c r="A155" s="9">
        <v>1990</v>
      </c>
      <c r="B155" s="7" t="s">
        <v>162</v>
      </c>
      <c r="C155" s="7" t="s">
        <v>31</v>
      </c>
      <c r="D155" s="7"/>
    </row>
    <row r="156" spans="1:4" x14ac:dyDescent="0.35">
      <c r="A156" s="9">
        <v>1990</v>
      </c>
      <c r="B156" s="7" t="s">
        <v>163</v>
      </c>
      <c r="C156" s="7" t="s">
        <v>3</v>
      </c>
      <c r="D156" s="7"/>
    </row>
    <row r="157" spans="1:4" x14ac:dyDescent="0.35">
      <c r="A157" s="9">
        <v>1990</v>
      </c>
      <c r="B157" s="7" t="s">
        <v>164</v>
      </c>
      <c r="C157" s="7" t="s">
        <v>32</v>
      </c>
      <c r="D157" s="7"/>
    </row>
    <row r="158" spans="1:4" x14ac:dyDescent="0.35">
      <c r="A158" s="9">
        <v>1990</v>
      </c>
      <c r="B158" s="7" t="s">
        <v>165</v>
      </c>
      <c r="C158" s="7" t="s">
        <v>32</v>
      </c>
      <c r="D158" s="7"/>
    </row>
    <row r="159" spans="1:4" x14ac:dyDescent="0.35">
      <c r="A159" s="9">
        <v>1990</v>
      </c>
      <c r="B159" s="7" t="s">
        <v>166</v>
      </c>
      <c r="C159" s="7" t="s">
        <v>79</v>
      </c>
      <c r="D159" s="7"/>
    </row>
    <row r="160" spans="1:4" x14ac:dyDescent="0.35">
      <c r="A160" s="9">
        <v>1990</v>
      </c>
      <c r="B160" s="7" t="s">
        <v>144</v>
      </c>
      <c r="C160" s="7" t="s">
        <v>4</v>
      </c>
      <c r="D160" s="7"/>
    </row>
    <row r="161" spans="1:4" x14ac:dyDescent="0.35">
      <c r="A161" s="9">
        <v>1990</v>
      </c>
      <c r="B161" s="7" t="s">
        <v>167</v>
      </c>
      <c r="C161" s="7" t="s">
        <v>54</v>
      </c>
      <c r="D161" s="7"/>
    </row>
    <row r="162" spans="1:4" x14ac:dyDescent="0.35">
      <c r="A162" s="9">
        <v>1990</v>
      </c>
      <c r="B162" s="7" t="s">
        <v>168</v>
      </c>
      <c r="C162" s="7" t="s">
        <v>4</v>
      </c>
      <c r="D162" s="7"/>
    </row>
    <row r="163" spans="1:4" x14ac:dyDescent="0.35">
      <c r="A163" s="9">
        <v>1990</v>
      </c>
      <c r="B163" s="7" t="s">
        <v>169</v>
      </c>
      <c r="C163" s="7" t="s">
        <v>4</v>
      </c>
      <c r="D163" s="7"/>
    </row>
    <row r="164" spans="1:4" x14ac:dyDescent="0.35">
      <c r="A164" s="9">
        <v>1990</v>
      </c>
      <c r="B164" s="7" t="s">
        <v>170</v>
      </c>
      <c r="C164" s="7" t="s">
        <v>136</v>
      </c>
      <c r="D164" s="7"/>
    </row>
    <row r="165" spans="1:4" x14ac:dyDescent="0.35">
      <c r="A165" s="9">
        <v>1990</v>
      </c>
      <c r="B165" s="7" t="s">
        <v>171</v>
      </c>
      <c r="C165" s="7" t="s">
        <v>54</v>
      </c>
      <c r="D165" s="7"/>
    </row>
    <row r="166" spans="1:4" x14ac:dyDescent="0.35">
      <c r="A166" s="9">
        <v>1990</v>
      </c>
      <c r="B166" s="7" t="s">
        <v>172</v>
      </c>
      <c r="C166" s="7" t="s">
        <v>4</v>
      </c>
      <c r="D166" s="7"/>
    </row>
    <row r="167" spans="1:4" x14ac:dyDescent="0.35">
      <c r="A167" s="9">
        <v>1990</v>
      </c>
      <c r="B167" s="7" t="s">
        <v>173</v>
      </c>
      <c r="C167" s="7" t="s">
        <v>161</v>
      </c>
      <c r="D167" s="7"/>
    </row>
    <row r="168" spans="1:4" x14ac:dyDescent="0.35">
      <c r="A168" s="9">
        <v>1990</v>
      </c>
      <c r="B168" s="7" t="s">
        <v>174</v>
      </c>
      <c r="C168" s="7" t="s">
        <v>4</v>
      </c>
      <c r="D168" s="7"/>
    </row>
    <row r="169" spans="1:4" x14ac:dyDescent="0.35">
      <c r="A169" s="9">
        <v>1990</v>
      </c>
      <c r="B169" s="7" t="s">
        <v>175</v>
      </c>
      <c r="C169" s="7" t="s">
        <v>4</v>
      </c>
      <c r="D169" s="7"/>
    </row>
    <row r="170" spans="1:4" x14ac:dyDescent="0.35">
      <c r="A170" s="9">
        <v>1990</v>
      </c>
      <c r="B170" s="7" t="s">
        <v>176</v>
      </c>
      <c r="C170" s="7" t="s">
        <v>4</v>
      </c>
      <c r="D170" s="7"/>
    </row>
    <row r="171" spans="1:4" x14ac:dyDescent="0.35">
      <c r="A171" s="9">
        <v>1990</v>
      </c>
      <c r="B171" s="7" t="s">
        <v>177</v>
      </c>
      <c r="C171" s="7" t="s">
        <v>4</v>
      </c>
      <c r="D171" s="7"/>
    </row>
    <row r="172" spans="1:4" x14ac:dyDescent="0.35">
      <c r="A172" s="9">
        <v>1990</v>
      </c>
      <c r="B172" s="7" t="s">
        <v>178</v>
      </c>
      <c r="C172" s="7" t="s">
        <v>79</v>
      </c>
      <c r="D172" s="7"/>
    </row>
    <row r="173" spans="1:4" x14ac:dyDescent="0.35">
      <c r="A173" s="9">
        <v>1990</v>
      </c>
      <c r="B173" s="7" t="s">
        <v>179</v>
      </c>
      <c r="C173" s="7" t="s">
        <v>4</v>
      </c>
      <c r="D173" s="7"/>
    </row>
    <row r="174" spans="1:4" x14ac:dyDescent="0.35">
      <c r="A174" s="9">
        <v>2002</v>
      </c>
      <c r="B174" s="7" t="s">
        <v>180</v>
      </c>
      <c r="C174" s="7" t="s">
        <v>4</v>
      </c>
      <c r="D174" s="7"/>
    </row>
    <row r="175" spans="1:4" x14ac:dyDescent="0.35">
      <c r="A175" s="9">
        <v>2002</v>
      </c>
      <c r="B175" s="7" t="s">
        <v>181</v>
      </c>
      <c r="C175" s="7" t="s">
        <v>4</v>
      </c>
      <c r="D175" s="7"/>
    </row>
    <row r="176" spans="1:4" x14ac:dyDescent="0.35">
      <c r="A176" s="9">
        <v>2002</v>
      </c>
      <c r="B176" s="7" t="s">
        <v>182</v>
      </c>
      <c r="C176" s="7" t="s">
        <v>4</v>
      </c>
      <c r="D176" s="7"/>
    </row>
    <row r="177" spans="1:4" x14ac:dyDescent="0.35">
      <c r="A177" s="9">
        <v>2002</v>
      </c>
      <c r="B177" s="7" t="s">
        <v>183</v>
      </c>
      <c r="C177" s="7" t="s">
        <v>4</v>
      </c>
      <c r="D177" s="7"/>
    </row>
    <row r="178" spans="1:4" x14ac:dyDescent="0.35">
      <c r="A178" s="9">
        <v>2002</v>
      </c>
      <c r="B178" s="7" t="s">
        <v>184</v>
      </c>
      <c r="C178" s="7" t="s">
        <v>31</v>
      </c>
      <c r="D178" s="7"/>
    </row>
    <row r="179" spans="1:4" x14ac:dyDescent="0.35">
      <c r="A179" s="9">
        <v>2002</v>
      </c>
      <c r="B179" s="7" t="s">
        <v>185</v>
      </c>
      <c r="C179" s="7" t="s">
        <v>4</v>
      </c>
      <c r="D179" s="7"/>
    </row>
    <row r="180" spans="1:4" x14ac:dyDescent="0.35">
      <c r="A180" s="9">
        <v>2002</v>
      </c>
      <c r="B180" s="7" t="s">
        <v>186</v>
      </c>
      <c r="C180" s="7" t="s">
        <v>23</v>
      </c>
      <c r="D180" s="7"/>
    </row>
    <row r="181" spans="1:4" x14ac:dyDescent="0.35">
      <c r="A181" s="9">
        <v>2002</v>
      </c>
      <c r="B181" s="7" t="s">
        <v>187</v>
      </c>
      <c r="C181" s="7" t="s">
        <v>4</v>
      </c>
      <c r="D181" s="7"/>
    </row>
    <row r="182" spans="1:4" x14ac:dyDescent="0.35">
      <c r="A182" s="9">
        <v>2002</v>
      </c>
      <c r="B182" s="7" t="s">
        <v>188</v>
      </c>
      <c r="C182" s="7" t="s">
        <v>85</v>
      </c>
      <c r="D182" s="7"/>
    </row>
    <row r="183" spans="1:4" x14ac:dyDescent="0.35">
      <c r="A183" s="9">
        <v>2002</v>
      </c>
      <c r="B183" s="7" t="s">
        <v>189</v>
      </c>
      <c r="C183" s="7" t="s">
        <v>121</v>
      </c>
      <c r="D183" s="7"/>
    </row>
    <row r="184" spans="1:4" x14ac:dyDescent="0.35">
      <c r="A184" s="9">
        <v>2002</v>
      </c>
      <c r="B184" s="7" t="s">
        <v>190</v>
      </c>
      <c r="C184" s="7" t="s">
        <v>4</v>
      </c>
      <c r="D184" s="7"/>
    </row>
    <row r="185" spans="1:4" x14ac:dyDescent="0.35">
      <c r="A185" s="9">
        <v>2002</v>
      </c>
      <c r="B185" s="7" t="s">
        <v>191</v>
      </c>
      <c r="C185" s="7" t="s">
        <v>4</v>
      </c>
      <c r="D185" s="7"/>
    </row>
    <row r="186" spans="1:4" x14ac:dyDescent="0.35">
      <c r="A186" s="9">
        <v>2002</v>
      </c>
      <c r="B186" s="7" t="s">
        <v>192</v>
      </c>
      <c r="C186" s="7" t="s">
        <v>193</v>
      </c>
      <c r="D186" s="7"/>
    </row>
    <row r="187" spans="1:4" x14ac:dyDescent="0.35">
      <c r="A187" s="9">
        <v>2002</v>
      </c>
      <c r="B187" s="7" t="s">
        <v>194</v>
      </c>
      <c r="C187" s="7" t="s">
        <v>4</v>
      </c>
      <c r="D187" s="7"/>
    </row>
    <row r="188" spans="1:4" x14ac:dyDescent="0.35">
      <c r="A188" s="9">
        <v>2002</v>
      </c>
      <c r="B188" s="7" t="s">
        <v>195</v>
      </c>
      <c r="C188" s="7" t="s">
        <v>4</v>
      </c>
      <c r="D188" s="7"/>
    </row>
    <row r="189" spans="1:4" x14ac:dyDescent="0.35">
      <c r="A189" s="9">
        <v>2002</v>
      </c>
      <c r="B189" s="7" t="s">
        <v>196</v>
      </c>
      <c r="C189" s="7" t="s">
        <v>4</v>
      </c>
      <c r="D189" s="7"/>
    </row>
    <row r="190" spans="1:4" x14ac:dyDescent="0.35">
      <c r="A190" s="9">
        <v>2002</v>
      </c>
      <c r="B190" s="7" t="s">
        <v>197</v>
      </c>
      <c r="C190" s="7" t="s">
        <v>4</v>
      </c>
      <c r="D190" s="7"/>
    </row>
    <row r="191" spans="1:4" x14ac:dyDescent="0.35">
      <c r="A191" s="9">
        <v>2002</v>
      </c>
      <c r="B191" s="7" t="s">
        <v>198</v>
      </c>
      <c r="C191" s="7" t="s">
        <v>31</v>
      </c>
      <c r="D191" s="7"/>
    </row>
    <row r="192" spans="1:4" x14ac:dyDescent="0.35">
      <c r="A192" s="9">
        <v>2002</v>
      </c>
      <c r="B192" s="7" t="s">
        <v>199</v>
      </c>
      <c r="C192" s="7" t="s">
        <v>54</v>
      </c>
      <c r="D192" s="7"/>
    </row>
    <row r="193" spans="1:4" x14ac:dyDescent="0.35">
      <c r="A193" s="9">
        <v>2002</v>
      </c>
      <c r="B193" s="7" t="s">
        <v>200</v>
      </c>
      <c r="C193" s="7" t="s">
        <v>4</v>
      </c>
      <c r="D193" s="7"/>
    </row>
    <row r="194" spans="1:4" x14ac:dyDescent="0.35">
      <c r="A194" s="9">
        <v>2002</v>
      </c>
      <c r="B194" s="7" t="s">
        <v>201</v>
      </c>
      <c r="C194" s="7" t="s">
        <v>4</v>
      </c>
      <c r="D194" s="7"/>
    </row>
    <row r="195" spans="1:4" x14ac:dyDescent="0.35">
      <c r="A195" s="9">
        <v>2002</v>
      </c>
      <c r="B195" s="7" t="s">
        <v>202</v>
      </c>
      <c r="C195" s="7" t="s">
        <v>3</v>
      </c>
      <c r="D195" s="7"/>
    </row>
    <row r="196" spans="1:4" x14ac:dyDescent="0.35">
      <c r="A196" s="9">
        <v>2002</v>
      </c>
      <c r="B196" s="7" t="s">
        <v>203</v>
      </c>
      <c r="C196" s="7" t="s">
        <v>55</v>
      </c>
      <c r="D196" s="7"/>
    </row>
    <row r="197" spans="1:4" x14ac:dyDescent="0.35">
      <c r="A197" s="9">
        <v>2010</v>
      </c>
      <c r="B197" s="7" t="s">
        <v>204</v>
      </c>
      <c r="C197" s="7" t="s">
        <v>29</v>
      </c>
      <c r="D197" s="7" t="s">
        <v>205</v>
      </c>
    </row>
    <row r="198" spans="1:4" x14ac:dyDescent="0.35">
      <c r="A198" s="9">
        <v>2010</v>
      </c>
      <c r="B198" s="7" t="s">
        <v>206</v>
      </c>
      <c r="C198" s="7" t="s">
        <v>31</v>
      </c>
      <c r="D198" s="7"/>
    </row>
    <row r="199" spans="1:4" x14ac:dyDescent="0.35">
      <c r="A199" s="9">
        <v>2010</v>
      </c>
      <c r="B199" s="7" t="s">
        <v>207</v>
      </c>
      <c r="C199" s="7" t="s">
        <v>23</v>
      </c>
      <c r="D199" s="7"/>
    </row>
    <row r="200" spans="1:4" x14ac:dyDescent="0.35">
      <c r="A200" s="9">
        <v>2010</v>
      </c>
      <c r="B200" s="7" t="s">
        <v>208</v>
      </c>
      <c r="C200" s="7" t="s">
        <v>4</v>
      </c>
      <c r="D200" s="7"/>
    </row>
    <row r="201" spans="1:4" x14ac:dyDescent="0.35">
      <c r="A201" s="9">
        <v>2010</v>
      </c>
      <c r="B201" s="7" t="s">
        <v>209</v>
      </c>
      <c r="C201" s="7" t="s">
        <v>88</v>
      </c>
      <c r="D201" s="7"/>
    </row>
    <row r="202" spans="1:4" x14ac:dyDescent="0.35">
      <c r="A202" s="9">
        <v>2010</v>
      </c>
      <c r="B202" s="10" t="s">
        <v>210</v>
      </c>
      <c r="C202" s="7" t="s">
        <v>4</v>
      </c>
      <c r="D202" s="7"/>
    </row>
    <row r="203" spans="1:4" x14ac:dyDescent="0.35">
      <c r="A203" s="9">
        <v>2010</v>
      </c>
      <c r="B203" s="10" t="s">
        <v>211</v>
      </c>
      <c r="C203" s="7" t="s">
        <v>3</v>
      </c>
      <c r="D203" s="7"/>
    </row>
    <row r="204" spans="1:4" x14ac:dyDescent="0.35">
      <c r="A204" s="9">
        <v>2010</v>
      </c>
      <c r="B204" s="7" t="s">
        <v>212</v>
      </c>
      <c r="C204" s="7" t="s">
        <v>4</v>
      </c>
      <c r="D204" s="7"/>
    </row>
    <row r="205" spans="1:4" x14ac:dyDescent="0.35">
      <c r="A205" s="9">
        <v>2010</v>
      </c>
      <c r="B205" s="7" t="s">
        <v>213</v>
      </c>
      <c r="C205" s="7" t="s">
        <v>3</v>
      </c>
      <c r="D205" s="7"/>
    </row>
    <row r="206" spans="1:4" x14ac:dyDescent="0.35">
      <c r="A206" s="9">
        <v>2010</v>
      </c>
      <c r="B206" s="7" t="s">
        <v>201</v>
      </c>
      <c r="C206" s="7" t="s">
        <v>4</v>
      </c>
      <c r="D206" s="7"/>
    </row>
    <row r="207" spans="1:4" x14ac:dyDescent="0.35">
      <c r="A207" s="9">
        <v>2010</v>
      </c>
      <c r="B207" s="7" t="s">
        <v>214</v>
      </c>
      <c r="C207" s="7" t="s">
        <v>4</v>
      </c>
      <c r="D207" s="7"/>
    </row>
    <row r="208" spans="1:4" x14ac:dyDescent="0.35">
      <c r="A208" s="9">
        <v>2010</v>
      </c>
      <c r="B208" s="7" t="s">
        <v>215</v>
      </c>
      <c r="C208" s="7" t="s">
        <v>32</v>
      </c>
      <c r="D208" s="7"/>
    </row>
    <row r="209" spans="1:4" x14ac:dyDescent="0.35">
      <c r="A209" s="9">
        <v>2010</v>
      </c>
      <c r="B209" s="7" t="s">
        <v>192</v>
      </c>
      <c r="C209" s="7" t="s">
        <v>193</v>
      </c>
      <c r="D209" s="7"/>
    </row>
    <row r="210" spans="1:4" x14ac:dyDescent="0.35">
      <c r="A210" s="9">
        <v>2010</v>
      </c>
      <c r="B210" s="7" t="s">
        <v>216</v>
      </c>
      <c r="C210" s="7" t="s">
        <v>88</v>
      </c>
      <c r="D210" s="7"/>
    </row>
    <row r="211" spans="1:4" x14ac:dyDescent="0.35">
      <c r="A211" s="9">
        <v>2010</v>
      </c>
      <c r="B211" s="7" t="s">
        <v>217</v>
      </c>
      <c r="C211" s="7" t="s">
        <v>4</v>
      </c>
      <c r="D211" s="7"/>
    </row>
    <row r="212" spans="1:4" x14ac:dyDescent="0.35">
      <c r="A212" s="9">
        <v>2010</v>
      </c>
      <c r="B212" s="7" t="s">
        <v>218</v>
      </c>
      <c r="C212" s="7" t="s">
        <v>4</v>
      </c>
      <c r="D212" s="7"/>
    </row>
    <row r="213" spans="1:4" x14ac:dyDescent="0.35">
      <c r="A213" s="9">
        <v>2010</v>
      </c>
      <c r="B213" s="10" t="s">
        <v>219</v>
      </c>
      <c r="C213" s="7" t="s">
        <v>88</v>
      </c>
      <c r="D213" s="7"/>
    </row>
    <row r="214" spans="1:4" x14ac:dyDescent="0.35">
      <c r="A214" s="9">
        <v>2010</v>
      </c>
      <c r="B214" s="7" t="s">
        <v>220</v>
      </c>
      <c r="C214" s="7" t="s">
        <v>4</v>
      </c>
      <c r="D214" s="7"/>
    </row>
    <row r="215" spans="1:4" x14ac:dyDescent="0.35">
      <c r="A215" s="9">
        <v>2010</v>
      </c>
      <c r="B215" s="7" t="s">
        <v>221</v>
      </c>
      <c r="C215" s="7" t="s">
        <v>4</v>
      </c>
      <c r="D215" s="7"/>
    </row>
    <row r="216" spans="1:4" x14ac:dyDescent="0.35">
      <c r="A216" s="9">
        <v>2010</v>
      </c>
      <c r="B216" s="7" t="s">
        <v>222</v>
      </c>
      <c r="C216" s="7" t="s">
        <v>23</v>
      </c>
      <c r="D216" s="7"/>
    </row>
    <row r="217" spans="1:4" x14ac:dyDescent="0.35">
      <c r="A217" s="9">
        <v>2010</v>
      </c>
      <c r="B217" s="10" t="s">
        <v>223</v>
      </c>
      <c r="C217" s="7" t="s">
        <v>4</v>
      </c>
      <c r="D217" s="7"/>
    </row>
    <row r="218" spans="1:4" x14ac:dyDescent="0.35">
      <c r="A218" s="9">
        <v>2010</v>
      </c>
      <c r="B218" s="7" t="s">
        <v>224</v>
      </c>
      <c r="C218" s="7" t="s">
        <v>4</v>
      </c>
      <c r="D218" s="7"/>
    </row>
    <row r="219" spans="1:4" x14ac:dyDescent="0.35">
      <c r="A219" s="9">
        <v>2010</v>
      </c>
      <c r="B219" s="10" t="s">
        <v>225</v>
      </c>
      <c r="C219" s="7" t="s">
        <v>4</v>
      </c>
      <c r="D219" s="7"/>
    </row>
    <row r="220" spans="1:4" x14ac:dyDescent="0.35">
      <c r="A220" s="7">
        <v>2014</v>
      </c>
      <c r="B220" s="7" t="s">
        <v>204</v>
      </c>
      <c r="C220" s="7" t="s">
        <v>29</v>
      </c>
      <c r="D220" s="7" t="s">
        <v>205</v>
      </c>
    </row>
    <row r="221" spans="1:4" x14ac:dyDescent="0.35">
      <c r="A221" s="7">
        <v>2014</v>
      </c>
      <c r="B221" s="7" t="s">
        <v>206</v>
      </c>
      <c r="C221" s="7" t="s">
        <v>31</v>
      </c>
      <c r="D221" s="7"/>
    </row>
    <row r="222" spans="1:4" x14ac:dyDescent="0.35">
      <c r="A222" s="7">
        <v>2014</v>
      </c>
      <c r="B222" s="7" t="s">
        <v>207</v>
      </c>
      <c r="C222" s="7" t="s">
        <v>23</v>
      </c>
      <c r="D222" s="7"/>
    </row>
    <row r="223" spans="1:4" x14ac:dyDescent="0.35">
      <c r="A223" s="7">
        <v>2014</v>
      </c>
      <c r="B223" s="7" t="s">
        <v>208</v>
      </c>
      <c r="C223" s="7" t="s">
        <v>4</v>
      </c>
      <c r="D223" s="7"/>
    </row>
    <row r="224" spans="1:4" x14ac:dyDescent="0.35">
      <c r="A224" s="7">
        <v>2014</v>
      </c>
      <c r="B224" s="7" t="s">
        <v>209</v>
      </c>
      <c r="C224" s="7" t="s">
        <v>88</v>
      </c>
      <c r="D224" s="7"/>
    </row>
    <row r="225" spans="1:4" x14ac:dyDescent="0.35">
      <c r="A225" s="7">
        <v>2014</v>
      </c>
      <c r="B225" s="7" t="s">
        <v>214</v>
      </c>
      <c r="C225" s="7" t="s">
        <v>4</v>
      </c>
      <c r="D225" s="7"/>
    </row>
    <row r="226" spans="1:4" x14ac:dyDescent="0.35">
      <c r="A226" s="7">
        <v>2014</v>
      </c>
      <c r="B226" s="7" t="s">
        <v>216</v>
      </c>
      <c r="C226" s="7" t="s">
        <v>88</v>
      </c>
      <c r="D226" s="7"/>
    </row>
    <row r="227" spans="1:4" x14ac:dyDescent="0.35">
      <c r="A227" s="7">
        <v>2014</v>
      </c>
      <c r="B227" s="7" t="s">
        <v>217</v>
      </c>
      <c r="C227" s="7" t="s">
        <v>4</v>
      </c>
      <c r="D227" s="7"/>
    </row>
    <row r="228" spans="1:4" x14ac:dyDescent="0.35">
      <c r="A228" s="7">
        <v>2014</v>
      </c>
      <c r="B228" s="7" t="s">
        <v>218</v>
      </c>
      <c r="C228" s="7" t="s">
        <v>4</v>
      </c>
      <c r="D228" s="7"/>
    </row>
    <row r="229" spans="1:4" x14ac:dyDescent="0.35">
      <c r="A229" s="7">
        <v>2014</v>
      </c>
      <c r="B229" s="10" t="s">
        <v>219</v>
      </c>
      <c r="C229" s="7" t="s">
        <v>88</v>
      </c>
      <c r="D229" s="7"/>
    </row>
    <row r="230" spans="1:4" x14ac:dyDescent="0.35">
      <c r="A230" s="7">
        <v>2014</v>
      </c>
      <c r="B230" s="7" t="s">
        <v>213</v>
      </c>
      <c r="C230" s="7" t="s">
        <v>3</v>
      </c>
      <c r="D230" s="7"/>
    </row>
    <row r="231" spans="1:4" x14ac:dyDescent="0.35">
      <c r="A231" s="7">
        <v>2014</v>
      </c>
      <c r="B231" s="7" t="s">
        <v>226</v>
      </c>
      <c r="C231" s="7" t="s">
        <v>23</v>
      </c>
      <c r="D231" s="7"/>
    </row>
    <row r="232" spans="1:4" x14ac:dyDescent="0.35">
      <c r="A232" s="7">
        <v>2014</v>
      </c>
      <c r="B232" s="10" t="s">
        <v>227</v>
      </c>
      <c r="C232" s="7" t="s">
        <v>31</v>
      </c>
      <c r="D232" s="7"/>
    </row>
    <row r="233" spans="1:4" x14ac:dyDescent="0.35">
      <c r="A233" s="7">
        <v>2014</v>
      </c>
      <c r="B233" s="7" t="s">
        <v>228</v>
      </c>
      <c r="C233" s="7" t="s">
        <v>31</v>
      </c>
      <c r="D233" s="7"/>
    </row>
    <row r="234" spans="1:4" x14ac:dyDescent="0.35">
      <c r="A234" s="7">
        <v>2014</v>
      </c>
      <c r="B234" s="7" t="s">
        <v>229</v>
      </c>
      <c r="C234" s="7" t="s">
        <v>4</v>
      </c>
      <c r="D234" s="7"/>
    </row>
    <row r="235" spans="1:4" x14ac:dyDescent="0.35">
      <c r="A235" s="7">
        <v>2014</v>
      </c>
      <c r="B235" s="7" t="s">
        <v>230</v>
      </c>
      <c r="C235" s="7" t="s">
        <v>31</v>
      </c>
      <c r="D235" s="7"/>
    </row>
    <row r="236" spans="1:4" x14ac:dyDescent="0.35">
      <c r="A236" s="7">
        <v>2014</v>
      </c>
      <c r="B236" s="7" t="s">
        <v>224</v>
      </c>
      <c r="C236" s="7" t="s">
        <v>4</v>
      </c>
      <c r="D236" s="7"/>
    </row>
    <row r="237" spans="1:4" x14ac:dyDescent="0.35">
      <c r="A237" s="7">
        <v>2014</v>
      </c>
      <c r="B237" s="10" t="s">
        <v>231</v>
      </c>
      <c r="C237" s="7" t="s">
        <v>55</v>
      </c>
      <c r="D237" s="7"/>
    </row>
    <row r="238" spans="1:4" x14ac:dyDescent="0.35">
      <c r="A238" s="7">
        <v>2014</v>
      </c>
      <c r="B238" s="7" t="s">
        <v>232</v>
      </c>
      <c r="C238" s="7" t="s">
        <v>4</v>
      </c>
      <c r="D238" s="7"/>
    </row>
    <row r="239" spans="1:4" x14ac:dyDescent="0.35">
      <c r="A239" s="7">
        <v>2014</v>
      </c>
      <c r="B239" s="7" t="s">
        <v>233</v>
      </c>
      <c r="C239" s="7" t="s">
        <v>4</v>
      </c>
      <c r="D239" s="7"/>
    </row>
    <row r="240" spans="1:4" x14ac:dyDescent="0.35">
      <c r="A240" s="7">
        <v>2014</v>
      </c>
      <c r="B240" s="10" t="s">
        <v>211</v>
      </c>
      <c r="C240" s="7" t="s">
        <v>3</v>
      </c>
      <c r="D240" s="7"/>
    </row>
    <row r="241" spans="1:4" x14ac:dyDescent="0.35">
      <c r="A241" s="7">
        <v>2014</v>
      </c>
      <c r="B241" s="10" t="s">
        <v>225</v>
      </c>
      <c r="C241" s="7" t="s">
        <v>4</v>
      </c>
      <c r="D241" s="7"/>
    </row>
    <row r="242" spans="1:4" x14ac:dyDescent="0.35">
      <c r="A242" s="7">
        <v>2014</v>
      </c>
      <c r="B242" s="7" t="s">
        <v>201</v>
      </c>
      <c r="C242" s="7" t="s">
        <v>4</v>
      </c>
      <c r="D242" s="7"/>
    </row>
    <row r="243" spans="1:4" x14ac:dyDescent="0.35">
      <c r="A243" s="7">
        <v>2018</v>
      </c>
      <c r="B243" s="7" t="s">
        <v>204</v>
      </c>
      <c r="C243" s="7" t="s">
        <v>29</v>
      </c>
      <c r="D243" s="7" t="s">
        <v>205</v>
      </c>
    </row>
    <row r="244" spans="1:4" x14ac:dyDescent="0.35">
      <c r="A244" s="7">
        <v>2018</v>
      </c>
      <c r="B244" s="7" t="s">
        <v>207</v>
      </c>
      <c r="C244" s="7" t="s">
        <v>23</v>
      </c>
      <c r="D244" s="7"/>
    </row>
    <row r="245" spans="1:4" x14ac:dyDescent="0.35">
      <c r="A245" s="7">
        <v>2018</v>
      </c>
      <c r="B245" s="7" t="s">
        <v>218</v>
      </c>
      <c r="C245" s="7" t="s">
        <v>4</v>
      </c>
      <c r="D245" s="7"/>
    </row>
    <row r="246" spans="1:4" x14ac:dyDescent="0.35">
      <c r="A246" s="7">
        <v>2018</v>
      </c>
      <c r="B246" s="7" t="s">
        <v>213</v>
      </c>
      <c r="C246" s="7" t="s">
        <v>3</v>
      </c>
      <c r="D246" s="7"/>
    </row>
    <row r="247" spans="1:4" x14ac:dyDescent="0.35">
      <c r="A247" s="7">
        <v>2018</v>
      </c>
      <c r="B247" s="7" t="s">
        <v>226</v>
      </c>
      <c r="C247" s="7" t="s">
        <v>23</v>
      </c>
      <c r="D247" s="7"/>
    </row>
    <row r="248" spans="1:4" x14ac:dyDescent="0.35">
      <c r="A248" s="7">
        <v>2018</v>
      </c>
      <c r="B248" s="7" t="s">
        <v>228</v>
      </c>
      <c r="C248" s="7" t="s">
        <v>31</v>
      </c>
      <c r="D248" s="7"/>
    </row>
    <row r="249" spans="1:4" x14ac:dyDescent="0.35">
      <c r="A249" s="7">
        <v>2018</v>
      </c>
      <c r="B249" s="7" t="s">
        <v>230</v>
      </c>
      <c r="C249" s="7" t="s">
        <v>31</v>
      </c>
      <c r="D249" s="7"/>
    </row>
    <row r="250" spans="1:4" x14ac:dyDescent="0.35">
      <c r="A250" s="7">
        <v>2018</v>
      </c>
      <c r="B250" s="7" t="s">
        <v>224</v>
      </c>
      <c r="C250" s="7" t="s">
        <v>4</v>
      </c>
      <c r="D250" s="7"/>
    </row>
    <row r="251" spans="1:4" x14ac:dyDescent="0.35">
      <c r="A251" s="7">
        <v>2018</v>
      </c>
      <c r="B251" s="7" t="s">
        <v>232</v>
      </c>
      <c r="C251" s="7" t="s">
        <v>4</v>
      </c>
      <c r="D251" s="7"/>
    </row>
    <row r="252" spans="1:4" x14ac:dyDescent="0.35">
      <c r="A252" s="7">
        <v>2018</v>
      </c>
      <c r="B252" s="10" t="s">
        <v>211</v>
      </c>
      <c r="C252" s="7" t="s">
        <v>3</v>
      </c>
      <c r="D252" s="7"/>
    </row>
    <row r="253" spans="1:4" x14ac:dyDescent="0.35">
      <c r="A253" s="7">
        <v>2018</v>
      </c>
      <c r="B253" s="10" t="s">
        <v>225</v>
      </c>
      <c r="C253" s="7" t="s">
        <v>4</v>
      </c>
      <c r="D253" s="7"/>
    </row>
    <row r="254" spans="1:4" x14ac:dyDescent="0.35">
      <c r="A254" s="7">
        <v>2018</v>
      </c>
      <c r="B254" s="7" t="s">
        <v>234</v>
      </c>
      <c r="C254" s="7" t="s">
        <v>4</v>
      </c>
      <c r="D254" s="7"/>
    </row>
    <row r="255" spans="1:4" x14ac:dyDescent="0.35">
      <c r="A255" s="7">
        <v>2018</v>
      </c>
      <c r="B255" s="10" t="s">
        <v>235</v>
      </c>
      <c r="C255" s="7" t="s">
        <v>4</v>
      </c>
      <c r="D255" s="7"/>
    </row>
    <row r="256" spans="1:4" x14ac:dyDescent="0.35">
      <c r="A256" s="7">
        <v>2018</v>
      </c>
      <c r="B256" s="7" t="s">
        <v>236</v>
      </c>
      <c r="C256" s="7" t="s">
        <v>23</v>
      </c>
      <c r="D256" s="7"/>
    </row>
    <row r="257" spans="1:4" x14ac:dyDescent="0.35">
      <c r="A257" s="7">
        <v>2018</v>
      </c>
      <c r="B257" s="7" t="s">
        <v>237</v>
      </c>
      <c r="C257" s="7" t="s">
        <v>75</v>
      </c>
      <c r="D257" s="7"/>
    </row>
    <row r="258" spans="1:4" x14ac:dyDescent="0.35">
      <c r="A258" s="7">
        <v>2018</v>
      </c>
      <c r="B258" s="10" t="s">
        <v>238</v>
      </c>
      <c r="C258" s="7" t="s">
        <v>55</v>
      </c>
      <c r="D258" s="7"/>
    </row>
    <row r="259" spans="1:4" x14ac:dyDescent="0.35">
      <c r="A259" s="7">
        <v>2018</v>
      </c>
      <c r="B259" s="7" t="s">
        <v>239</v>
      </c>
      <c r="C259" s="7" t="s">
        <v>75</v>
      </c>
      <c r="D259" s="7"/>
    </row>
    <row r="260" spans="1:4" x14ac:dyDescent="0.35">
      <c r="A260" s="7">
        <v>2018</v>
      </c>
      <c r="B260" s="10" t="s">
        <v>240</v>
      </c>
      <c r="C260" s="7" t="s">
        <v>3</v>
      </c>
      <c r="D260" s="7"/>
    </row>
    <row r="261" spans="1:4" x14ac:dyDescent="0.35">
      <c r="A261" s="7">
        <v>2018</v>
      </c>
      <c r="B261" s="10" t="s">
        <v>241</v>
      </c>
      <c r="C261" s="7" t="s">
        <v>55</v>
      </c>
      <c r="D261" s="7"/>
    </row>
    <row r="262" spans="1:4" x14ac:dyDescent="0.35">
      <c r="A262" s="7">
        <v>2018</v>
      </c>
      <c r="B262" s="7" t="s">
        <v>242</v>
      </c>
      <c r="C262" s="7" t="s">
        <v>31</v>
      </c>
      <c r="D262" s="7"/>
    </row>
    <row r="263" spans="1:4" x14ac:dyDescent="0.35">
      <c r="A263" s="7">
        <v>2018</v>
      </c>
      <c r="B263" s="7" t="s">
        <v>243</v>
      </c>
      <c r="C263" s="7" t="s">
        <v>4</v>
      </c>
      <c r="D263" s="7"/>
    </row>
    <row r="264" spans="1:4" x14ac:dyDescent="0.35">
      <c r="A264" s="7">
        <v>2018</v>
      </c>
      <c r="B264" s="7" t="s">
        <v>244</v>
      </c>
      <c r="C264" s="7" t="s">
        <v>88</v>
      </c>
      <c r="D264" s="7"/>
    </row>
    <row r="265" spans="1:4" x14ac:dyDescent="0.35">
      <c r="A265" s="7">
        <v>2018</v>
      </c>
      <c r="B265" s="7" t="s">
        <v>245</v>
      </c>
      <c r="C265" s="7" t="s">
        <v>4</v>
      </c>
      <c r="D265" s="7"/>
    </row>
    <row r="266" spans="1:4" x14ac:dyDescent="0.35">
      <c r="A266" s="7">
        <v>2022</v>
      </c>
      <c r="B266" s="7" t="s">
        <v>204</v>
      </c>
      <c r="C266" s="7" t="s">
        <v>29</v>
      </c>
      <c r="D266" s="7" t="s">
        <v>205</v>
      </c>
    </row>
    <row r="267" spans="1:4" x14ac:dyDescent="0.35">
      <c r="A267" s="7">
        <v>2022</v>
      </c>
      <c r="B267" s="7" t="s">
        <v>230</v>
      </c>
      <c r="C267" s="7" t="s">
        <v>31</v>
      </c>
      <c r="D267" s="7"/>
    </row>
    <row r="268" spans="1:4" x14ac:dyDescent="0.35">
      <c r="A268" s="7">
        <v>2022</v>
      </c>
      <c r="B268" s="7" t="s">
        <v>207</v>
      </c>
      <c r="C268" s="7" t="s">
        <v>23</v>
      </c>
      <c r="D268" s="7"/>
    </row>
    <row r="269" spans="1:4" x14ac:dyDescent="0.35">
      <c r="A269" s="7">
        <v>2022</v>
      </c>
      <c r="B269" s="7" t="s">
        <v>242</v>
      </c>
      <c r="C269" s="7" t="s">
        <v>31</v>
      </c>
      <c r="D269" s="7"/>
    </row>
    <row r="270" spans="1:4" x14ac:dyDescent="0.35">
      <c r="A270" s="7">
        <v>2022</v>
      </c>
      <c r="B270" s="7" t="s">
        <v>236</v>
      </c>
      <c r="C270" s="7" t="s">
        <v>23</v>
      </c>
      <c r="D270" s="7"/>
    </row>
    <row r="271" spans="1:4" x14ac:dyDescent="0.35">
      <c r="A271" s="7">
        <v>2022</v>
      </c>
      <c r="B271" s="10" t="s">
        <v>238</v>
      </c>
      <c r="C271" s="7" t="s">
        <v>55</v>
      </c>
      <c r="D271" s="7"/>
    </row>
    <row r="272" spans="1:4" x14ac:dyDescent="0.35">
      <c r="A272" s="7">
        <v>2022</v>
      </c>
      <c r="B272" s="7" t="s">
        <v>246</v>
      </c>
      <c r="C272" s="7" t="s">
        <v>161</v>
      </c>
      <c r="D272" s="7"/>
    </row>
    <row r="273" spans="1:4" x14ac:dyDescent="0.35">
      <c r="A273" s="7">
        <v>2022</v>
      </c>
      <c r="B273" s="7" t="s">
        <v>247</v>
      </c>
      <c r="C273" s="7" t="s">
        <v>4</v>
      </c>
      <c r="D273" s="7"/>
    </row>
    <row r="274" spans="1:4" x14ac:dyDescent="0.35">
      <c r="A274" s="7">
        <v>2022</v>
      </c>
      <c r="B274" s="7" t="s">
        <v>248</v>
      </c>
      <c r="C274" s="7" t="s">
        <v>4</v>
      </c>
      <c r="D274" s="7"/>
    </row>
    <row r="275" spans="1:4" x14ac:dyDescent="0.35">
      <c r="A275" s="7">
        <v>2022</v>
      </c>
      <c r="B275" s="7" t="s">
        <v>213</v>
      </c>
      <c r="C275" s="7" t="s">
        <v>3</v>
      </c>
      <c r="D275" s="7"/>
    </row>
    <row r="276" spans="1:4" x14ac:dyDescent="0.35">
      <c r="A276" s="7">
        <v>2022</v>
      </c>
      <c r="B276" s="7" t="s">
        <v>249</v>
      </c>
      <c r="C276" s="7" t="s">
        <v>54</v>
      </c>
      <c r="D276" s="7"/>
    </row>
    <row r="277" spans="1:4" x14ac:dyDescent="0.35">
      <c r="A277" s="7">
        <v>2022</v>
      </c>
      <c r="B277" s="7" t="s">
        <v>250</v>
      </c>
      <c r="C277" s="7" t="s">
        <v>4</v>
      </c>
      <c r="D277" s="7"/>
    </row>
    <row r="278" spans="1:4" x14ac:dyDescent="0.35">
      <c r="A278" s="7">
        <v>2022</v>
      </c>
      <c r="B278" s="7" t="s">
        <v>234</v>
      </c>
      <c r="C278" s="7" t="s">
        <v>4</v>
      </c>
      <c r="D278" s="7"/>
    </row>
    <row r="279" spans="1:4" x14ac:dyDescent="0.35">
      <c r="A279" s="7">
        <v>2022</v>
      </c>
      <c r="B279" s="7" t="s">
        <v>241</v>
      </c>
      <c r="C279" s="7" t="s">
        <v>55</v>
      </c>
      <c r="D279" s="7"/>
    </row>
    <row r="280" spans="1:4" x14ac:dyDescent="0.35">
      <c r="A280" s="7">
        <v>2022</v>
      </c>
      <c r="B280" s="7" t="s">
        <v>251</v>
      </c>
      <c r="C280" s="7" t="s">
        <v>4</v>
      </c>
      <c r="D280" s="7"/>
    </row>
    <row r="281" spans="1:4" x14ac:dyDescent="0.35">
      <c r="A281" s="7">
        <v>2022</v>
      </c>
      <c r="B281" s="7" t="s">
        <v>252</v>
      </c>
      <c r="C281" s="7" t="s">
        <v>4</v>
      </c>
      <c r="D281" s="7"/>
    </row>
    <row r="282" spans="1:4" x14ac:dyDescent="0.35">
      <c r="A282" s="7">
        <v>2022</v>
      </c>
      <c r="B282" s="7" t="s">
        <v>253</v>
      </c>
      <c r="C282" s="7" t="s">
        <v>31</v>
      </c>
      <c r="D282" s="7"/>
    </row>
    <row r="283" spans="1:4" x14ac:dyDescent="0.35">
      <c r="A283" s="7">
        <v>2022</v>
      </c>
      <c r="B283" s="7" t="s">
        <v>254</v>
      </c>
      <c r="C283" s="7" t="s">
        <v>88</v>
      </c>
      <c r="D283" s="7"/>
    </row>
    <row r="284" spans="1:4" x14ac:dyDescent="0.35">
      <c r="A284" s="7">
        <v>2022</v>
      </c>
      <c r="B284" s="7" t="s">
        <v>255</v>
      </c>
      <c r="C284" s="7" t="s">
        <v>4</v>
      </c>
      <c r="D284" s="7"/>
    </row>
    <row r="285" spans="1:4" x14ac:dyDescent="0.35">
      <c r="A285" s="7">
        <v>2022</v>
      </c>
      <c r="B285" s="7" t="s">
        <v>211</v>
      </c>
      <c r="C285" s="7" t="s">
        <v>3</v>
      </c>
      <c r="D285" s="7"/>
    </row>
    <row r="286" spans="1:4" x14ac:dyDescent="0.35">
      <c r="A286" s="7">
        <v>2022</v>
      </c>
      <c r="B286" s="7" t="s">
        <v>224</v>
      </c>
      <c r="C286" s="7" t="s">
        <v>4</v>
      </c>
      <c r="D286" s="7"/>
    </row>
    <row r="287" spans="1:4" x14ac:dyDescent="0.35">
      <c r="A287" s="7">
        <v>2022</v>
      </c>
      <c r="B287" s="7" t="s">
        <v>256</v>
      </c>
      <c r="C287" s="7" t="s">
        <v>23</v>
      </c>
      <c r="D287" s="7"/>
    </row>
    <row r="288" spans="1:4" x14ac:dyDescent="0.35">
      <c r="A288" s="7">
        <v>2022</v>
      </c>
      <c r="B288" s="7" t="s">
        <v>257</v>
      </c>
      <c r="C288" s="7" t="s">
        <v>4</v>
      </c>
      <c r="D288" s="7"/>
    </row>
    <row r="289" spans="1:4" x14ac:dyDescent="0.35">
      <c r="A289" s="7">
        <v>2022</v>
      </c>
      <c r="B289" s="7" t="s">
        <v>258</v>
      </c>
      <c r="C289" s="7" t="s">
        <v>4</v>
      </c>
      <c r="D289" s="7"/>
    </row>
    <row r="290" spans="1:4" x14ac:dyDescent="0.35">
      <c r="A290" s="7">
        <v>2022</v>
      </c>
      <c r="B290" s="7" t="s">
        <v>259</v>
      </c>
      <c r="C290" s="7" t="s">
        <v>31</v>
      </c>
      <c r="D290" s="7"/>
    </row>
    <row r="291" spans="1:4" x14ac:dyDescent="0.35">
      <c r="A291" s="7">
        <v>2022</v>
      </c>
      <c r="B291" s="7" t="s">
        <v>232</v>
      </c>
      <c r="C291" s="7" t="s">
        <v>4</v>
      </c>
      <c r="D291" s="7"/>
    </row>
  </sheetData>
  <autoFilter ref="A1:D2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"/>
  <sheetViews>
    <sheetView workbookViewId="0">
      <selection activeCell="M13" activeCellId="1" sqref="A13:A31 M13:M31"/>
    </sheetView>
  </sheetViews>
  <sheetFormatPr baseColWidth="10" defaultRowHeight="14.5" x14ac:dyDescent="0.35"/>
  <cols>
    <col min="1" max="1" width="109" bestFit="1" customWidth="1"/>
    <col min="2" max="3" width="7.54296875" bestFit="1" customWidth="1"/>
    <col min="4" max="11" width="9.1796875" bestFit="1" customWidth="1"/>
  </cols>
  <sheetData>
    <row r="1" spans="1:13" x14ac:dyDescent="0.35">
      <c r="A1" t="s">
        <v>287</v>
      </c>
    </row>
    <row r="2" spans="1:13" x14ac:dyDescent="0.35">
      <c r="A2" t="s">
        <v>265</v>
      </c>
    </row>
    <row r="4" spans="1:13" x14ac:dyDescent="0.35">
      <c r="A4" t="s">
        <v>266</v>
      </c>
      <c r="B4" s="12">
        <v>1852</v>
      </c>
      <c r="C4" s="12">
        <v>1860</v>
      </c>
      <c r="D4" s="12">
        <v>1908</v>
      </c>
      <c r="E4" s="12">
        <v>1963</v>
      </c>
      <c r="F4" s="12">
        <v>1975</v>
      </c>
      <c r="G4" s="12">
        <v>1985</v>
      </c>
      <c r="H4" s="12">
        <v>1996</v>
      </c>
      <c r="I4" s="12">
        <v>2004</v>
      </c>
      <c r="J4" s="12" t="s">
        <v>267</v>
      </c>
      <c r="K4" s="12">
        <v>2023</v>
      </c>
      <c r="L4" s="35" t="s">
        <v>292</v>
      </c>
      <c r="M4" t="s">
        <v>290</v>
      </c>
    </row>
    <row r="7" spans="1:13" x14ac:dyDescent="0.35">
      <c r="A7" t="s">
        <v>268</v>
      </c>
      <c r="B7" s="6">
        <v>131969</v>
      </c>
      <c r="C7" s="6">
        <v>229480</v>
      </c>
      <c r="D7" s="6">
        <v>1042686</v>
      </c>
      <c r="E7" s="6">
        <v>2595510</v>
      </c>
      <c r="F7" s="6">
        <v>2788429</v>
      </c>
      <c r="G7" s="6">
        <v>2955241</v>
      </c>
      <c r="H7" s="6">
        <v>3163763</v>
      </c>
      <c r="I7" s="6">
        <v>3241003</v>
      </c>
      <c r="J7" s="6">
        <v>3286314</v>
      </c>
      <c r="L7" s="40">
        <v>3480601.1845803596</v>
      </c>
      <c r="M7" s="34">
        <v>3466466.0951448157</v>
      </c>
    </row>
    <row r="9" spans="1:13" x14ac:dyDescent="0.35">
      <c r="A9" t="s">
        <v>4</v>
      </c>
      <c r="B9" s="6">
        <v>33994</v>
      </c>
      <c r="C9" s="6">
        <v>57913</v>
      </c>
      <c r="D9" s="6">
        <v>309231</v>
      </c>
      <c r="E9" s="6">
        <v>1202757</v>
      </c>
      <c r="F9" s="6">
        <v>1237227</v>
      </c>
      <c r="G9" s="6">
        <v>1311976</v>
      </c>
      <c r="H9" s="6">
        <v>1344839</v>
      </c>
      <c r="I9" s="6">
        <v>1325968</v>
      </c>
      <c r="J9" s="6">
        <v>1319108</v>
      </c>
      <c r="K9" s="6">
        <v>1302721</v>
      </c>
      <c r="L9" s="41">
        <v>1271512.854762397</v>
      </c>
      <c r="M9" s="33">
        <v>1242210.3267990681</v>
      </c>
    </row>
    <row r="11" spans="1:13" x14ac:dyDescent="0.35">
      <c r="A11" t="s">
        <v>269</v>
      </c>
      <c r="B11" s="6">
        <v>97975</v>
      </c>
      <c r="C11" s="6">
        <v>171567</v>
      </c>
      <c r="D11" s="6">
        <v>733455</v>
      </c>
      <c r="E11" s="6">
        <v>1392753</v>
      </c>
      <c r="F11" s="6">
        <v>1551202</v>
      </c>
      <c r="G11" s="6">
        <v>1643265</v>
      </c>
      <c r="H11" s="6">
        <v>1818924</v>
      </c>
      <c r="I11" s="6">
        <v>1915035</v>
      </c>
      <c r="J11" s="6">
        <v>1967206</v>
      </c>
      <c r="L11" s="6">
        <f>L7-L9</f>
        <v>2209088.3298179628</v>
      </c>
      <c r="M11" s="6">
        <f>M7-M9</f>
        <v>2224255.7683457476</v>
      </c>
    </row>
    <row r="13" spans="1:13" x14ac:dyDescent="0.35">
      <c r="A13" t="s">
        <v>54</v>
      </c>
      <c r="B13" t="s">
        <v>270</v>
      </c>
      <c r="C13" t="s">
        <v>270</v>
      </c>
      <c r="D13" s="6">
        <v>26321</v>
      </c>
      <c r="E13" s="6">
        <v>52843</v>
      </c>
      <c r="F13" s="6">
        <v>57947</v>
      </c>
      <c r="G13" s="6">
        <v>69145</v>
      </c>
      <c r="H13" s="6">
        <v>75059</v>
      </c>
      <c r="I13" s="6">
        <v>78019</v>
      </c>
      <c r="J13" s="6">
        <v>73378</v>
      </c>
      <c r="K13" s="6">
        <v>77488</v>
      </c>
      <c r="L13" s="43">
        <v>77295.92479943487</v>
      </c>
      <c r="M13" s="32">
        <v>77069.041843416344</v>
      </c>
    </row>
    <row r="14" spans="1:13" x14ac:dyDescent="0.35">
      <c r="A14" t="s">
        <v>31</v>
      </c>
      <c r="B14" s="6">
        <v>17817</v>
      </c>
      <c r="C14" s="6">
        <v>20468</v>
      </c>
      <c r="D14" s="6">
        <v>87874</v>
      </c>
      <c r="E14" s="6">
        <v>258195</v>
      </c>
      <c r="F14" s="6">
        <v>325594</v>
      </c>
      <c r="G14" s="6">
        <v>364248</v>
      </c>
      <c r="H14" s="6">
        <v>443053</v>
      </c>
      <c r="I14" s="6">
        <v>485240</v>
      </c>
      <c r="J14" s="6">
        <v>520187</v>
      </c>
      <c r="K14" s="6">
        <v>608960</v>
      </c>
      <c r="L14" s="44">
        <v>621284.91461294354</v>
      </c>
      <c r="M14" s="31">
        <v>635618.60674156109</v>
      </c>
    </row>
    <row r="15" spans="1:13" x14ac:dyDescent="0.35">
      <c r="A15" t="s">
        <v>97</v>
      </c>
      <c r="B15" s="6">
        <v>6451</v>
      </c>
      <c r="C15" s="6">
        <v>17475</v>
      </c>
      <c r="D15" s="6">
        <v>44742</v>
      </c>
      <c r="E15" s="6">
        <v>71023</v>
      </c>
      <c r="F15" s="6">
        <v>74027</v>
      </c>
      <c r="G15" s="6">
        <v>78416</v>
      </c>
      <c r="H15" s="6">
        <v>82510</v>
      </c>
      <c r="I15" s="6">
        <v>86564</v>
      </c>
      <c r="J15" s="6">
        <v>84698</v>
      </c>
      <c r="K15" s="6">
        <v>91260</v>
      </c>
      <c r="L15" s="45">
        <v>90303.969682405834</v>
      </c>
      <c r="M15" s="30">
        <v>89700.334329417426</v>
      </c>
    </row>
    <row r="16" spans="1:13" x14ac:dyDescent="0.35">
      <c r="A16" t="s">
        <v>23</v>
      </c>
      <c r="B16" s="6">
        <v>7971</v>
      </c>
      <c r="C16" s="6">
        <v>13349</v>
      </c>
      <c r="D16" s="6">
        <v>54644</v>
      </c>
      <c r="E16" s="6">
        <v>105276</v>
      </c>
      <c r="F16" s="6">
        <v>111832</v>
      </c>
      <c r="G16" s="6">
        <v>112717</v>
      </c>
      <c r="H16" s="6">
        <v>120241</v>
      </c>
      <c r="I16" s="6">
        <v>119266</v>
      </c>
      <c r="J16" s="6">
        <v>123203</v>
      </c>
      <c r="K16" s="6">
        <v>135757</v>
      </c>
      <c r="L16" s="46">
        <v>135915.94669362728</v>
      </c>
      <c r="M16" s="29">
        <v>135706.48394172452</v>
      </c>
    </row>
    <row r="17" spans="1:13" x14ac:dyDescent="0.35">
      <c r="A17" t="s">
        <v>32</v>
      </c>
      <c r="B17" s="6">
        <v>5591</v>
      </c>
      <c r="C17" s="6">
        <v>8973</v>
      </c>
      <c r="D17" s="6">
        <v>42325</v>
      </c>
      <c r="E17" s="6">
        <v>53635</v>
      </c>
      <c r="F17" s="6">
        <v>55699</v>
      </c>
      <c r="G17" s="6">
        <v>55077</v>
      </c>
      <c r="H17" s="6">
        <v>55716</v>
      </c>
      <c r="I17" s="6">
        <v>58859</v>
      </c>
      <c r="J17" s="6">
        <v>57088</v>
      </c>
      <c r="K17" s="6">
        <v>62010</v>
      </c>
      <c r="L17" s="47">
        <v>61921.777220934993</v>
      </c>
      <c r="M17" s="28">
        <v>61721.451728121217</v>
      </c>
    </row>
    <row r="18" spans="1:13" x14ac:dyDescent="0.35">
      <c r="A18" t="s">
        <v>260</v>
      </c>
      <c r="B18" t="s">
        <v>271</v>
      </c>
      <c r="C18" t="s">
        <v>271</v>
      </c>
      <c r="D18" s="6">
        <v>16082</v>
      </c>
      <c r="E18" s="6">
        <v>23805</v>
      </c>
      <c r="F18" s="6">
        <v>24745</v>
      </c>
      <c r="G18" s="6">
        <v>24739</v>
      </c>
      <c r="H18" s="6">
        <v>25030</v>
      </c>
      <c r="I18" s="6">
        <v>25104</v>
      </c>
      <c r="J18" s="6">
        <v>25050</v>
      </c>
      <c r="K18" s="6">
        <v>26301</v>
      </c>
      <c r="L18" s="48">
        <v>25911.27365944242</v>
      </c>
      <c r="M18" s="27">
        <v>25659.393626969922</v>
      </c>
    </row>
    <row r="19" spans="1:13" x14ac:dyDescent="0.35">
      <c r="A19" t="s">
        <v>103</v>
      </c>
      <c r="B19" t="s">
        <v>272</v>
      </c>
      <c r="C19" s="6">
        <v>12170</v>
      </c>
      <c r="D19" s="6">
        <v>45406</v>
      </c>
      <c r="E19" s="6">
        <v>63987</v>
      </c>
      <c r="F19" s="6">
        <v>67129</v>
      </c>
      <c r="G19" s="6">
        <v>66474</v>
      </c>
      <c r="H19" s="6">
        <v>66503</v>
      </c>
      <c r="I19" s="6">
        <v>68181</v>
      </c>
      <c r="J19" s="6">
        <v>67048</v>
      </c>
      <c r="K19" s="6">
        <v>70324</v>
      </c>
      <c r="L19" s="49">
        <v>69951.124892338616</v>
      </c>
      <c r="M19" s="26">
        <v>69719.000031458796</v>
      </c>
    </row>
    <row r="20" spans="1:13" x14ac:dyDescent="0.35">
      <c r="A20" t="s">
        <v>193</v>
      </c>
      <c r="B20" s="6">
        <v>8089</v>
      </c>
      <c r="C20" s="6">
        <v>12852</v>
      </c>
      <c r="D20" s="6">
        <v>51222</v>
      </c>
      <c r="E20" s="6">
        <v>65823</v>
      </c>
      <c r="F20" s="6">
        <v>65180</v>
      </c>
      <c r="G20" s="6">
        <v>61466</v>
      </c>
      <c r="H20" s="6">
        <v>61085</v>
      </c>
      <c r="I20" s="6">
        <v>60925</v>
      </c>
      <c r="J20" s="6">
        <v>58815</v>
      </c>
      <c r="K20" s="6">
        <v>59173</v>
      </c>
      <c r="L20" s="50">
        <v>58120.057602674424</v>
      </c>
      <c r="M20" s="25">
        <v>57155.870965143469</v>
      </c>
    </row>
    <row r="21" spans="1:13" x14ac:dyDescent="0.35">
      <c r="A21" t="s">
        <v>75</v>
      </c>
      <c r="B21" s="6">
        <v>9733</v>
      </c>
      <c r="C21" s="6">
        <v>20000</v>
      </c>
      <c r="D21" s="6">
        <v>28820</v>
      </c>
      <c r="E21" s="6">
        <v>61259</v>
      </c>
      <c r="F21" s="6">
        <v>76211</v>
      </c>
      <c r="G21" s="6">
        <v>94314</v>
      </c>
      <c r="H21" s="6">
        <v>127502</v>
      </c>
      <c r="I21" s="6">
        <v>140192</v>
      </c>
      <c r="J21" s="6">
        <v>164300</v>
      </c>
      <c r="K21" s="6">
        <v>212954</v>
      </c>
      <c r="L21" s="51">
        <v>218438.44551262326</v>
      </c>
      <c r="M21" s="24">
        <v>225052.44643362059</v>
      </c>
    </row>
    <row r="22" spans="1:13" s="35" customFormat="1" x14ac:dyDescent="0.35">
      <c r="A22" s="35" t="s">
        <v>4</v>
      </c>
      <c r="B22" s="6">
        <v>33994</v>
      </c>
      <c r="C22" s="6">
        <v>57913</v>
      </c>
      <c r="D22" s="6">
        <v>309231</v>
      </c>
      <c r="E22" s="6">
        <v>1202757</v>
      </c>
      <c r="F22" s="6">
        <v>1237227</v>
      </c>
      <c r="G22" s="6">
        <v>1311976</v>
      </c>
      <c r="H22" s="6">
        <v>1344839</v>
      </c>
      <c r="I22" s="6">
        <v>1325968</v>
      </c>
      <c r="J22" s="6">
        <v>1319108</v>
      </c>
      <c r="K22" s="6">
        <v>1302721</v>
      </c>
      <c r="L22" s="42">
        <v>1271512.854762397</v>
      </c>
      <c r="M22" s="36">
        <v>1242210.3267990681</v>
      </c>
    </row>
    <row r="23" spans="1:13" x14ac:dyDescent="0.35">
      <c r="A23" t="s">
        <v>88</v>
      </c>
      <c r="B23" s="6">
        <v>6247</v>
      </c>
      <c r="C23" s="6">
        <v>14201</v>
      </c>
      <c r="D23" s="6">
        <v>38421</v>
      </c>
      <c r="E23" s="6">
        <v>88029</v>
      </c>
      <c r="F23" s="6">
        <v>98508</v>
      </c>
      <c r="G23" s="6">
        <v>103763</v>
      </c>
      <c r="H23" s="6">
        <v>111509</v>
      </c>
      <c r="I23" s="6">
        <v>113244</v>
      </c>
      <c r="J23" s="6">
        <v>113124</v>
      </c>
      <c r="K23" s="6">
        <v>121838</v>
      </c>
      <c r="L23" s="52">
        <v>121450.8336908393</v>
      </c>
      <c r="M23" s="23">
        <v>120988.51168791682</v>
      </c>
    </row>
    <row r="24" spans="1:13" x14ac:dyDescent="0.35">
      <c r="A24" t="s">
        <v>273</v>
      </c>
      <c r="B24" t="s">
        <v>274</v>
      </c>
      <c r="C24" t="s">
        <v>274</v>
      </c>
      <c r="D24" s="6">
        <v>19932</v>
      </c>
      <c r="E24" s="6">
        <v>46861</v>
      </c>
      <c r="F24" s="6">
        <v>50123</v>
      </c>
      <c r="G24" s="6">
        <v>48644</v>
      </c>
      <c r="H24" s="6">
        <v>51713</v>
      </c>
      <c r="I24" s="6">
        <v>53989</v>
      </c>
      <c r="J24" s="6">
        <v>54765</v>
      </c>
      <c r="K24" s="6">
        <v>57338</v>
      </c>
      <c r="L24" s="53">
        <v>56959.233304874375</v>
      </c>
      <c r="M24" s="22">
        <v>56686.550123166307</v>
      </c>
    </row>
    <row r="25" spans="1:13" x14ac:dyDescent="0.35">
      <c r="A25" t="s">
        <v>161</v>
      </c>
      <c r="B25" t="s">
        <v>275</v>
      </c>
      <c r="C25" t="s">
        <v>275</v>
      </c>
      <c r="D25" s="6">
        <v>35683</v>
      </c>
      <c r="E25" s="6">
        <v>77086</v>
      </c>
      <c r="F25" s="6">
        <v>82043</v>
      </c>
      <c r="G25" s="6">
        <v>89475</v>
      </c>
      <c r="H25" s="6">
        <v>98472</v>
      </c>
      <c r="I25" s="6">
        <v>104921</v>
      </c>
      <c r="J25" s="6">
        <v>103493</v>
      </c>
      <c r="K25" s="6">
        <v>109299</v>
      </c>
      <c r="L25" s="54">
        <v>109074.76946245007</v>
      </c>
      <c r="M25" s="21">
        <v>108955.55858684455</v>
      </c>
    </row>
    <row r="26" spans="1:13" x14ac:dyDescent="0.35">
      <c r="A26" t="s">
        <v>136</v>
      </c>
      <c r="B26" t="s">
        <v>276</v>
      </c>
      <c r="C26" t="s">
        <v>276</v>
      </c>
      <c r="D26" s="6">
        <v>34119</v>
      </c>
      <c r="E26" s="6">
        <v>55097</v>
      </c>
      <c r="F26" s="6">
        <v>60258</v>
      </c>
      <c r="G26" s="6">
        <v>66601</v>
      </c>
      <c r="H26" s="6">
        <v>70292</v>
      </c>
      <c r="I26" s="6">
        <v>69937</v>
      </c>
      <c r="J26" s="6">
        <v>68088</v>
      </c>
      <c r="K26" s="6">
        <v>80710</v>
      </c>
      <c r="L26" s="55">
        <v>81094.623042219871</v>
      </c>
      <c r="M26" s="20">
        <v>81513.319812080153</v>
      </c>
    </row>
    <row r="27" spans="1:13" x14ac:dyDescent="0.35">
      <c r="A27" t="s">
        <v>3</v>
      </c>
      <c r="B27" s="6">
        <v>7364</v>
      </c>
      <c r="C27" s="6">
        <v>15821</v>
      </c>
      <c r="D27" s="6">
        <v>46259</v>
      </c>
      <c r="E27" s="6">
        <v>92183</v>
      </c>
      <c r="F27" s="6">
        <v>103074</v>
      </c>
      <c r="G27" s="6">
        <v>108487</v>
      </c>
      <c r="H27" s="6">
        <v>117597</v>
      </c>
      <c r="I27" s="6">
        <v>123120</v>
      </c>
      <c r="J27" s="6">
        <v>124878</v>
      </c>
      <c r="K27" s="6">
        <v>136195</v>
      </c>
      <c r="L27" s="56">
        <v>136111.23340996023</v>
      </c>
      <c r="M27" s="19">
        <v>135860.05550941941</v>
      </c>
    </row>
    <row r="28" spans="1:13" x14ac:dyDescent="0.35">
      <c r="A28" t="s">
        <v>72</v>
      </c>
      <c r="B28" s="6">
        <v>13114</v>
      </c>
      <c r="C28" s="6">
        <v>12527</v>
      </c>
      <c r="D28" s="6">
        <v>46324</v>
      </c>
      <c r="E28" s="6">
        <v>79393</v>
      </c>
      <c r="F28" s="6">
        <v>88000</v>
      </c>
      <c r="G28" s="6">
        <v>89893</v>
      </c>
      <c r="H28" s="6">
        <v>96664</v>
      </c>
      <c r="I28" s="6">
        <v>103104</v>
      </c>
      <c r="J28" s="6">
        <v>108309</v>
      </c>
      <c r="K28" s="6">
        <v>119718</v>
      </c>
      <c r="L28" s="57">
        <v>120428.0109295799</v>
      </c>
      <c r="M28" s="18">
        <v>121063.2390550929</v>
      </c>
    </row>
    <row r="29" spans="1:13" x14ac:dyDescent="0.35">
      <c r="A29" t="s">
        <v>79</v>
      </c>
      <c r="B29" s="6">
        <v>9031</v>
      </c>
      <c r="C29" s="6">
        <v>14138</v>
      </c>
      <c r="D29" s="6">
        <v>39565</v>
      </c>
      <c r="E29" s="6">
        <v>77875</v>
      </c>
      <c r="F29" s="6">
        <v>80614</v>
      </c>
      <c r="G29" s="6">
        <v>79439</v>
      </c>
      <c r="H29" s="6">
        <v>81557</v>
      </c>
      <c r="I29" s="6">
        <v>84563</v>
      </c>
      <c r="J29" s="6">
        <v>82595</v>
      </c>
      <c r="K29" s="6">
        <v>83684</v>
      </c>
      <c r="L29" s="58">
        <v>82601.913318977924</v>
      </c>
      <c r="M29" s="17">
        <v>81260.506993390081</v>
      </c>
    </row>
    <row r="30" spans="1:13" x14ac:dyDescent="0.35">
      <c r="A30" t="s">
        <v>121</v>
      </c>
      <c r="B30" s="6">
        <v>6567</v>
      </c>
      <c r="C30" s="6">
        <v>9593</v>
      </c>
      <c r="D30" s="6">
        <v>46939</v>
      </c>
      <c r="E30" s="6">
        <v>76964</v>
      </c>
      <c r="F30" s="6">
        <v>84535</v>
      </c>
      <c r="G30" s="6">
        <v>83498</v>
      </c>
      <c r="H30" s="6">
        <v>84919</v>
      </c>
      <c r="I30" s="6">
        <v>90489</v>
      </c>
      <c r="J30" s="6">
        <v>90053</v>
      </c>
      <c r="K30" s="6">
        <v>96016</v>
      </c>
      <c r="L30" s="59">
        <v>95627.030107519196</v>
      </c>
      <c r="M30" s="16">
        <v>95043.70211343313</v>
      </c>
    </row>
    <row r="31" spans="1:13" x14ac:dyDescent="0.35">
      <c r="A31" t="s">
        <v>85</v>
      </c>
      <c r="B31" t="s">
        <v>277</v>
      </c>
      <c r="C31" t="s">
        <v>277</v>
      </c>
      <c r="D31" s="6">
        <v>28777</v>
      </c>
      <c r="E31" s="6">
        <v>43419</v>
      </c>
      <c r="F31" s="6">
        <v>45683</v>
      </c>
      <c r="G31" s="6">
        <v>46869</v>
      </c>
      <c r="H31" s="6">
        <v>49502</v>
      </c>
      <c r="I31" s="6">
        <v>49318</v>
      </c>
      <c r="J31" s="6">
        <v>48134</v>
      </c>
      <c r="K31" s="6">
        <v>47705</v>
      </c>
      <c r="L31" s="61">
        <v>46597.247875116685</v>
      </c>
      <c r="M31" s="15">
        <v>45481.694822970661</v>
      </c>
    </row>
    <row r="34" spans="1:1" x14ac:dyDescent="0.35">
      <c r="A34" t="s">
        <v>278</v>
      </c>
    </row>
    <row r="35" spans="1:1" x14ac:dyDescent="0.35">
      <c r="A35" t="s">
        <v>279</v>
      </c>
    </row>
    <row r="36" spans="1:1" x14ac:dyDescent="0.35">
      <c r="A36" t="s">
        <v>280</v>
      </c>
    </row>
    <row r="37" spans="1:1" x14ac:dyDescent="0.35">
      <c r="A37" t="s">
        <v>281</v>
      </c>
    </row>
    <row r="38" spans="1:1" x14ac:dyDescent="0.35">
      <c r="A38" t="s">
        <v>282</v>
      </c>
    </row>
    <row r="39" spans="1:1" x14ac:dyDescent="0.35">
      <c r="A39" t="s">
        <v>283</v>
      </c>
    </row>
    <row r="40" spans="1:1" x14ac:dyDescent="0.35">
      <c r="A40" t="s">
        <v>284</v>
      </c>
    </row>
    <row r="41" spans="1:1" x14ac:dyDescent="0.35">
      <c r="A41" t="s">
        <v>285</v>
      </c>
    </row>
    <row r="42" spans="1:1" x14ac:dyDescent="0.35">
      <c r="A42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4"/>
  <sheetViews>
    <sheetView workbookViewId="0">
      <selection activeCell="E32" sqref="E32"/>
    </sheetView>
  </sheetViews>
  <sheetFormatPr baseColWidth="10" defaultRowHeight="14.5" x14ac:dyDescent="0.35"/>
  <cols>
    <col min="1" max="1" width="13.81640625" bestFit="1" customWidth="1"/>
    <col min="6" max="7" width="15.54296875" bestFit="1" customWidth="1"/>
    <col min="9" max="9" width="15.54296875" bestFit="1" customWidth="1"/>
    <col min="17" max="17" width="13.54296875" bestFit="1" customWidth="1"/>
    <col min="18" max="18" width="40.26953125" bestFit="1" customWidth="1"/>
  </cols>
  <sheetData>
    <row r="1" spans="1:19" x14ac:dyDescent="0.35">
      <c r="B1" s="13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9" x14ac:dyDescent="0.35">
      <c r="A2" s="4" t="s">
        <v>2</v>
      </c>
      <c r="B2" s="3">
        <v>1930</v>
      </c>
      <c r="C2" s="3">
        <v>1950</v>
      </c>
      <c r="D2" s="3">
        <v>1954</v>
      </c>
      <c r="E2" s="3">
        <v>1966</v>
      </c>
      <c r="F2" s="3">
        <v>1970</v>
      </c>
      <c r="G2" s="3">
        <v>1974</v>
      </c>
      <c r="H2" s="3">
        <v>1986</v>
      </c>
      <c r="I2" s="3">
        <v>1990</v>
      </c>
      <c r="J2" s="3">
        <v>2002</v>
      </c>
      <c r="K2" s="3">
        <v>2010</v>
      </c>
      <c r="L2" s="3">
        <v>2014</v>
      </c>
      <c r="M2" s="3">
        <v>2018</v>
      </c>
      <c r="N2" s="3">
        <v>2022</v>
      </c>
      <c r="O2" s="3">
        <v>2026</v>
      </c>
      <c r="P2" s="3" t="s">
        <v>262</v>
      </c>
      <c r="Q2" s="3" t="s">
        <v>264</v>
      </c>
      <c r="R2" s="3" t="s">
        <v>289</v>
      </c>
      <c r="S2" s="3" t="s">
        <v>288</v>
      </c>
    </row>
    <row r="3" spans="1:19" x14ac:dyDescent="0.35">
      <c r="A3" s="2" t="s">
        <v>54</v>
      </c>
      <c r="B3" s="2"/>
      <c r="C3" s="2">
        <v>1</v>
      </c>
      <c r="D3" s="2"/>
      <c r="E3" s="2">
        <v>1</v>
      </c>
      <c r="F3" s="2"/>
      <c r="G3" s="2">
        <v>1</v>
      </c>
      <c r="H3" s="2">
        <v>2</v>
      </c>
      <c r="I3" s="2">
        <v>2</v>
      </c>
      <c r="J3" s="2">
        <v>1</v>
      </c>
      <c r="K3" s="2"/>
      <c r="L3" s="2"/>
      <c r="M3" s="2"/>
      <c r="N3" s="2">
        <v>1</v>
      </c>
      <c r="O3" s="2"/>
      <c r="P3" s="4">
        <f>SUM(B3:O3)</f>
        <v>9</v>
      </c>
      <c r="Q3" s="5"/>
      <c r="R3" s="3"/>
      <c r="S3" s="5"/>
    </row>
    <row r="4" spans="1:19" x14ac:dyDescent="0.35">
      <c r="A4" s="2" t="s">
        <v>31</v>
      </c>
      <c r="B4" s="2">
        <v>2</v>
      </c>
      <c r="C4" s="2"/>
      <c r="D4" s="2">
        <v>1</v>
      </c>
      <c r="E4" s="2"/>
      <c r="F4" s="2">
        <v>1</v>
      </c>
      <c r="G4" s="2"/>
      <c r="H4" s="2">
        <v>3</v>
      </c>
      <c r="I4" s="2">
        <v>1</v>
      </c>
      <c r="J4" s="2">
        <v>2</v>
      </c>
      <c r="K4" s="2">
        <v>1</v>
      </c>
      <c r="L4" s="2">
        <v>4</v>
      </c>
      <c r="M4" s="2">
        <v>3</v>
      </c>
      <c r="N4" s="2">
        <v>4</v>
      </c>
      <c r="O4" s="2"/>
      <c r="P4" s="4">
        <f t="shared" ref="P4:P23" si="0">SUM(B4:O4)</f>
        <v>22</v>
      </c>
      <c r="Q4" s="5"/>
      <c r="R4" s="3"/>
      <c r="S4" s="5"/>
    </row>
    <row r="5" spans="1:19" x14ac:dyDescent="0.35">
      <c r="A5" s="2" t="s">
        <v>97</v>
      </c>
      <c r="B5" s="2"/>
      <c r="C5" s="2"/>
      <c r="D5" s="2"/>
      <c r="E5" s="2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4">
        <f t="shared" si="0"/>
        <v>1</v>
      </c>
      <c r="Q5" s="5"/>
      <c r="R5" s="3"/>
      <c r="S5" s="5"/>
    </row>
    <row r="6" spans="1:19" x14ac:dyDescent="0.35">
      <c r="A6" s="2" t="s">
        <v>23</v>
      </c>
      <c r="B6" s="2">
        <v>1</v>
      </c>
      <c r="C6" s="2">
        <v>1</v>
      </c>
      <c r="D6" s="2"/>
      <c r="E6" s="2">
        <v>1</v>
      </c>
      <c r="F6" s="2"/>
      <c r="G6" s="2"/>
      <c r="H6" s="2">
        <v>1</v>
      </c>
      <c r="I6" s="2"/>
      <c r="J6" s="2">
        <v>1</v>
      </c>
      <c r="K6" s="2">
        <v>2</v>
      </c>
      <c r="L6" s="2">
        <v>2</v>
      </c>
      <c r="M6" s="2">
        <v>3</v>
      </c>
      <c r="N6" s="2">
        <v>3</v>
      </c>
      <c r="O6" s="2"/>
      <c r="P6" s="4">
        <f t="shared" si="0"/>
        <v>15</v>
      </c>
      <c r="Q6" s="5"/>
      <c r="R6" s="3"/>
      <c r="S6" s="5"/>
    </row>
    <row r="7" spans="1:19" x14ac:dyDescent="0.35">
      <c r="A7" s="2" t="s">
        <v>32</v>
      </c>
      <c r="B7" s="2">
        <v>1</v>
      </c>
      <c r="C7" s="2"/>
      <c r="D7" s="2"/>
      <c r="E7" s="2"/>
      <c r="F7" s="2"/>
      <c r="G7" s="2"/>
      <c r="H7" s="2"/>
      <c r="I7" s="2">
        <v>2</v>
      </c>
      <c r="J7" s="2"/>
      <c r="K7" s="2">
        <v>1</v>
      </c>
      <c r="L7" s="2"/>
      <c r="M7" s="2"/>
      <c r="N7" s="2"/>
      <c r="O7" s="2"/>
      <c r="P7" s="4">
        <f t="shared" si="0"/>
        <v>4</v>
      </c>
      <c r="Q7" s="5"/>
      <c r="R7" s="3"/>
      <c r="S7" s="5"/>
    </row>
    <row r="8" spans="1:19" x14ac:dyDescent="0.35">
      <c r="A8" s="2" t="s">
        <v>260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4">
        <f t="shared" si="0"/>
        <v>0</v>
      </c>
      <c r="Q8" s="5"/>
      <c r="R8" s="3"/>
      <c r="S8" s="5"/>
    </row>
    <row r="9" spans="1:19" x14ac:dyDescent="0.35">
      <c r="A9" s="2" t="s">
        <v>103</v>
      </c>
      <c r="B9" s="2"/>
      <c r="C9" s="2"/>
      <c r="D9" s="2"/>
      <c r="E9" s="2"/>
      <c r="F9" s="2">
        <v>1</v>
      </c>
      <c r="G9" s="2"/>
      <c r="H9" s="2"/>
      <c r="I9" s="2"/>
      <c r="J9" s="2"/>
      <c r="K9" s="2"/>
      <c r="L9" s="2"/>
      <c r="M9" s="2"/>
      <c r="N9" s="2"/>
      <c r="O9" s="2"/>
      <c r="P9" s="4">
        <f t="shared" si="0"/>
        <v>1</v>
      </c>
      <c r="Q9" s="5"/>
      <c r="R9" s="3"/>
      <c r="S9" s="5"/>
    </row>
    <row r="10" spans="1:19" x14ac:dyDescent="0.35">
      <c r="A10" s="2" t="s">
        <v>193</v>
      </c>
      <c r="B10" s="2"/>
      <c r="C10" s="2"/>
      <c r="D10" s="2"/>
      <c r="E10" s="2"/>
      <c r="F10" s="2"/>
      <c r="G10" s="2"/>
      <c r="H10" s="2"/>
      <c r="I10" s="2"/>
      <c r="J10" s="2">
        <v>1</v>
      </c>
      <c r="K10" s="2">
        <v>1</v>
      </c>
      <c r="L10" s="2"/>
      <c r="M10" s="2"/>
      <c r="N10" s="2"/>
      <c r="O10" s="2"/>
      <c r="P10" s="4">
        <f t="shared" si="0"/>
        <v>2</v>
      </c>
      <c r="Q10" s="5"/>
      <c r="R10" s="3"/>
      <c r="S10" s="5"/>
    </row>
    <row r="11" spans="1:19" x14ac:dyDescent="0.35">
      <c r="A11" s="2" t="s">
        <v>75</v>
      </c>
      <c r="B11" s="2"/>
      <c r="C11" s="2"/>
      <c r="D11" s="2"/>
      <c r="E11" s="2">
        <v>2</v>
      </c>
      <c r="F11" s="2">
        <v>2</v>
      </c>
      <c r="G11" s="2">
        <v>1</v>
      </c>
      <c r="H11" s="2"/>
      <c r="I11" s="2"/>
      <c r="J11" s="2"/>
      <c r="K11" s="2"/>
      <c r="L11" s="2"/>
      <c r="M11" s="2">
        <v>2</v>
      </c>
      <c r="N11" s="2"/>
      <c r="O11" s="2"/>
      <c r="P11" s="4">
        <f t="shared" si="0"/>
        <v>7</v>
      </c>
      <c r="Q11" s="5"/>
      <c r="R11" s="3"/>
      <c r="S11" s="5"/>
    </row>
    <row r="12" spans="1:19" x14ac:dyDescent="0.35">
      <c r="A12" s="2" t="s">
        <v>4</v>
      </c>
      <c r="B12" s="2">
        <v>14</v>
      </c>
      <c r="C12" s="2">
        <v>18</v>
      </c>
      <c r="D12" s="2">
        <v>19</v>
      </c>
      <c r="E12" s="2">
        <v>11</v>
      </c>
      <c r="F12" s="2">
        <v>10</v>
      </c>
      <c r="G12" s="2">
        <v>12</v>
      </c>
      <c r="H12" s="2">
        <v>12</v>
      </c>
      <c r="I12" s="2">
        <v>11</v>
      </c>
      <c r="J12" s="2">
        <v>14</v>
      </c>
      <c r="K12" s="2">
        <v>12</v>
      </c>
      <c r="L12" s="2">
        <v>8</v>
      </c>
      <c r="M12" s="2">
        <v>9</v>
      </c>
      <c r="N12" s="2">
        <v>11</v>
      </c>
      <c r="O12" s="2"/>
      <c r="P12" s="4">
        <f t="shared" si="0"/>
        <v>161</v>
      </c>
      <c r="Q12" s="5"/>
      <c r="R12" s="3"/>
      <c r="S12" s="5"/>
    </row>
    <row r="13" spans="1:19" x14ac:dyDescent="0.35">
      <c r="A13" s="2" t="s">
        <v>88</v>
      </c>
      <c r="B13" s="2"/>
      <c r="C13" s="2"/>
      <c r="D13" s="2"/>
      <c r="E13" s="2">
        <v>1</v>
      </c>
      <c r="F13" s="2">
        <v>2</v>
      </c>
      <c r="G13" s="2">
        <v>1</v>
      </c>
      <c r="H13" s="2"/>
      <c r="I13" s="2"/>
      <c r="J13" s="2"/>
      <c r="K13" s="2">
        <v>3</v>
      </c>
      <c r="L13" s="2">
        <v>3</v>
      </c>
      <c r="M13" s="2">
        <v>1</v>
      </c>
      <c r="N13" s="2">
        <v>1</v>
      </c>
      <c r="O13" s="2"/>
      <c r="P13" s="4">
        <f t="shared" si="0"/>
        <v>12</v>
      </c>
      <c r="Q13" s="5"/>
      <c r="R13" s="3"/>
      <c r="S13" s="5"/>
    </row>
    <row r="14" spans="1:19" x14ac:dyDescent="0.35">
      <c r="A14" s="2" t="s">
        <v>55</v>
      </c>
      <c r="B14" s="2"/>
      <c r="C14" s="2">
        <v>1</v>
      </c>
      <c r="D14" s="2"/>
      <c r="E14" s="2"/>
      <c r="F14" s="2"/>
      <c r="G14" s="2"/>
      <c r="H14" s="2"/>
      <c r="I14" s="2"/>
      <c r="J14" s="2">
        <v>1</v>
      </c>
      <c r="K14" s="2"/>
      <c r="L14" s="2">
        <v>1</v>
      </c>
      <c r="M14" s="2">
        <v>2</v>
      </c>
      <c r="N14" s="2">
        <v>2</v>
      </c>
      <c r="O14" s="2"/>
      <c r="P14" s="4">
        <f t="shared" si="0"/>
        <v>7</v>
      </c>
      <c r="Q14" s="5"/>
      <c r="R14" s="3"/>
      <c r="S14" s="5"/>
    </row>
    <row r="15" spans="1:19" x14ac:dyDescent="0.35">
      <c r="A15" s="2" t="s">
        <v>161</v>
      </c>
      <c r="B15" s="2"/>
      <c r="C15" s="2"/>
      <c r="D15" s="2"/>
      <c r="E15" s="2"/>
      <c r="F15" s="2"/>
      <c r="G15" s="2"/>
      <c r="H15" s="2"/>
      <c r="I15" s="2">
        <v>2</v>
      </c>
      <c r="J15" s="2"/>
      <c r="K15" s="2"/>
      <c r="L15" s="2"/>
      <c r="M15" s="2"/>
      <c r="N15" s="2">
        <v>1</v>
      </c>
      <c r="O15" s="2"/>
      <c r="P15" s="4">
        <f t="shared" si="0"/>
        <v>3</v>
      </c>
      <c r="Q15" s="5"/>
      <c r="R15" s="3"/>
      <c r="S15" s="5"/>
    </row>
    <row r="16" spans="1:19" x14ac:dyDescent="0.35">
      <c r="A16" s="2" t="s">
        <v>136</v>
      </c>
      <c r="B16" s="2"/>
      <c r="C16" s="2"/>
      <c r="D16" s="2"/>
      <c r="E16" s="2"/>
      <c r="F16" s="2"/>
      <c r="G16" s="2">
        <v>1</v>
      </c>
      <c r="H16" s="2"/>
      <c r="I16" s="2">
        <v>1</v>
      </c>
      <c r="J16" s="2"/>
      <c r="K16" s="2"/>
      <c r="L16" s="2"/>
      <c r="M16" s="2"/>
      <c r="N16" s="2"/>
      <c r="O16" s="2"/>
      <c r="P16" s="4">
        <f t="shared" si="0"/>
        <v>2</v>
      </c>
      <c r="Q16" s="5"/>
      <c r="R16" s="3"/>
      <c r="S16" s="5"/>
    </row>
    <row r="17" spans="1:19" x14ac:dyDescent="0.35">
      <c r="A17" s="2" t="s">
        <v>3</v>
      </c>
      <c r="B17" s="2">
        <v>2</v>
      </c>
      <c r="C17" s="2"/>
      <c r="D17" s="2"/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2</v>
      </c>
      <c r="L17" s="2">
        <v>2</v>
      </c>
      <c r="M17" s="2">
        <v>3</v>
      </c>
      <c r="N17" s="2">
        <v>2</v>
      </c>
      <c r="O17" s="2"/>
      <c r="P17" s="4">
        <f t="shared" si="0"/>
        <v>17</v>
      </c>
      <c r="Q17" s="5"/>
      <c r="R17" s="3"/>
      <c r="S17" s="5"/>
    </row>
    <row r="18" spans="1:19" x14ac:dyDescent="0.35">
      <c r="A18" s="2" t="s">
        <v>72</v>
      </c>
      <c r="B18" s="2"/>
      <c r="C18" s="2"/>
      <c r="D18" s="2">
        <v>1</v>
      </c>
      <c r="E18" s="2">
        <v>1</v>
      </c>
      <c r="F18" s="2">
        <v>1</v>
      </c>
      <c r="G18" s="2"/>
      <c r="H18" s="2"/>
      <c r="I18" s="2"/>
      <c r="J18" s="2"/>
      <c r="K18" s="2"/>
      <c r="L18" s="2"/>
      <c r="M18" s="2"/>
      <c r="N18" s="2"/>
      <c r="O18" s="2"/>
      <c r="P18" s="4">
        <f t="shared" si="0"/>
        <v>3</v>
      </c>
      <c r="Q18" s="5"/>
      <c r="R18" s="3"/>
      <c r="S18" s="5"/>
    </row>
    <row r="19" spans="1:19" x14ac:dyDescent="0.35">
      <c r="A19" s="2" t="s">
        <v>79</v>
      </c>
      <c r="B19" s="2"/>
      <c r="C19" s="2"/>
      <c r="D19" s="2"/>
      <c r="E19" s="2">
        <v>1</v>
      </c>
      <c r="F19" s="2">
        <v>2</v>
      </c>
      <c r="G19" s="2">
        <v>2</v>
      </c>
      <c r="H19" s="2"/>
      <c r="I19" s="2">
        <v>2</v>
      </c>
      <c r="J19" s="2"/>
      <c r="K19" s="2"/>
      <c r="L19" s="2"/>
      <c r="M19" s="2"/>
      <c r="N19" s="2"/>
      <c r="O19" s="2"/>
      <c r="P19" s="4">
        <f t="shared" si="0"/>
        <v>7</v>
      </c>
      <c r="Q19" s="5"/>
      <c r="R19" s="3"/>
      <c r="S19" s="5"/>
    </row>
    <row r="20" spans="1:19" x14ac:dyDescent="0.35">
      <c r="A20" s="2" t="s">
        <v>121</v>
      </c>
      <c r="B20" s="2"/>
      <c r="C20" s="2"/>
      <c r="D20" s="2"/>
      <c r="E20" s="2"/>
      <c r="F20" s="2"/>
      <c r="G20" s="2">
        <v>2</v>
      </c>
      <c r="H20" s="2"/>
      <c r="I20" s="2"/>
      <c r="J20" s="2">
        <v>1</v>
      </c>
      <c r="K20" s="2"/>
      <c r="L20" s="2"/>
      <c r="M20" s="2"/>
      <c r="N20" s="2"/>
      <c r="O20" s="2"/>
      <c r="P20" s="4">
        <f t="shared" si="0"/>
        <v>3</v>
      </c>
      <c r="Q20" s="5"/>
      <c r="R20" s="3"/>
      <c r="S20" s="5"/>
    </row>
    <row r="21" spans="1:19" x14ac:dyDescent="0.35">
      <c r="A21" s="2" t="s">
        <v>85</v>
      </c>
      <c r="B21" s="2"/>
      <c r="C21" s="2"/>
      <c r="D21" s="2"/>
      <c r="E21" s="2">
        <v>1</v>
      </c>
      <c r="F21" s="2"/>
      <c r="G21" s="2"/>
      <c r="H21" s="2">
        <v>1</v>
      </c>
      <c r="I21" s="2"/>
      <c r="J21" s="2">
        <v>1</v>
      </c>
      <c r="K21" s="2"/>
      <c r="L21" s="2"/>
      <c r="M21" s="2"/>
      <c r="N21" s="2"/>
      <c r="O21" s="2"/>
      <c r="P21" s="4">
        <f t="shared" si="0"/>
        <v>3</v>
      </c>
      <c r="Q21" s="5"/>
      <c r="R21" s="3"/>
      <c r="S21" s="5"/>
    </row>
    <row r="22" spans="1:19" x14ac:dyDescent="0.35">
      <c r="A22" s="2" t="s">
        <v>261</v>
      </c>
      <c r="B22" s="2">
        <v>2</v>
      </c>
      <c r="C22" s="2">
        <v>1</v>
      </c>
      <c r="D22" s="2">
        <v>1</v>
      </c>
      <c r="E22" s="2">
        <v>1</v>
      </c>
      <c r="F22" s="2"/>
      <c r="G22" s="2"/>
      <c r="H22" s="2"/>
      <c r="I22" s="2"/>
      <c r="J22" s="2"/>
      <c r="K22" s="2">
        <v>1</v>
      </c>
      <c r="L22" s="2">
        <v>1</v>
      </c>
      <c r="M22" s="2">
        <v>1</v>
      </c>
      <c r="N22" s="2">
        <v>1</v>
      </c>
      <c r="O22" s="2"/>
      <c r="P22" s="4">
        <f t="shared" si="0"/>
        <v>9</v>
      </c>
      <c r="Q22" s="5"/>
      <c r="R22" s="3"/>
      <c r="S22" s="5"/>
    </row>
    <row r="23" spans="1:19" x14ac:dyDescent="0.35">
      <c r="A23" s="2"/>
      <c r="B23" s="2"/>
      <c r="C23" s="2"/>
      <c r="D23" s="2"/>
      <c r="E23" s="2"/>
      <c r="F23" s="2" t="s">
        <v>263</v>
      </c>
      <c r="G23" s="2" t="s">
        <v>263</v>
      </c>
      <c r="H23" s="2"/>
      <c r="I23" s="2" t="s">
        <v>263</v>
      </c>
      <c r="J23" s="2"/>
      <c r="K23" s="2"/>
      <c r="L23" s="2"/>
      <c r="M23" s="2"/>
      <c r="N23" s="2"/>
      <c r="O23" s="2"/>
      <c r="P23" s="4">
        <f t="shared" si="0"/>
        <v>0</v>
      </c>
      <c r="Q23" s="5"/>
      <c r="R23" s="3"/>
      <c r="S23" s="5"/>
    </row>
    <row r="24" spans="1:19" x14ac:dyDescent="0.35">
      <c r="B24">
        <f>SUM(B3:B23)</f>
        <v>22</v>
      </c>
      <c r="C24">
        <f t="shared" ref="C24:N24" si="1">SUM(C3:C23)</f>
        <v>22</v>
      </c>
      <c r="D24">
        <f t="shared" si="1"/>
        <v>22</v>
      </c>
      <c r="E24">
        <f t="shared" si="1"/>
        <v>22</v>
      </c>
      <c r="F24">
        <f t="shared" si="1"/>
        <v>20</v>
      </c>
      <c r="G24">
        <f t="shared" si="1"/>
        <v>21</v>
      </c>
      <c r="H24">
        <f t="shared" si="1"/>
        <v>20</v>
      </c>
      <c r="I24">
        <f t="shared" si="1"/>
        <v>22</v>
      </c>
      <c r="J24">
        <f t="shared" si="1"/>
        <v>23</v>
      </c>
      <c r="K24">
        <f t="shared" si="1"/>
        <v>23</v>
      </c>
      <c r="L24">
        <f t="shared" si="1"/>
        <v>21</v>
      </c>
      <c r="M24">
        <f t="shared" si="1"/>
        <v>24</v>
      </c>
      <c r="N24">
        <f t="shared" si="1"/>
        <v>26</v>
      </c>
      <c r="P24" s="4">
        <f>SUM(P3:P23)</f>
        <v>288</v>
      </c>
    </row>
  </sheetData>
  <mergeCells count="1">
    <mergeCell ref="B1:O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7244-520D-44E5-A063-D2BD0AC60402}">
  <dimension ref="A1:P21"/>
  <sheetViews>
    <sheetView workbookViewId="0">
      <selection activeCell="F30" sqref="F30"/>
    </sheetView>
  </sheetViews>
  <sheetFormatPr baseColWidth="10" defaultRowHeight="14.5" x14ac:dyDescent="0.35"/>
  <cols>
    <col min="1" max="1" width="13.1796875" bestFit="1" customWidth="1"/>
  </cols>
  <sheetData>
    <row r="1" spans="1:16" x14ac:dyDescent="0.35">
      <c r="A1" s="4" t="s">
        <v>2</v>
      </c>
      <c r="B1" s="3">
        <v>1930</v>
      </c>
      <c r="C1" s="3">
        <v>1950</v>
      </c>
      <c r="D1" s="3">
        <v>1954</v>
      </c>
      <c r="E1" s="3">
        <v>1966</v>
      </c>
      <c r="F1" s="3">
        <v>1970</v>
      </c>
      <c r="G1" s="3">
        <v>1974</v>
      </c>
      <c r="H1" s="3">
        <v>1986</v>
      </c>
      <c r="I1" s="3">
        <v>1990</v>
      </c>
      <c r="J1" s="3">
        <v>2002</v>
      </c>
      <c r="K1" s="3">
        <v>2010</v>
      </c>
      <c r="L1" s="3">
        <v>2014</v>
      </c>
      <c r="M1" s="3">
        <v>2018</v>
      </c>
      <c r="N1" s="3">
        <v>2022</v>
      </c>
      <c r="O1" s="3">
        <v>2026</v>
      </c>
      <c r="P1" s="14">
        <v>2030</v>
      </c>
    </row>
    <row r="2" spans="1:16" x14ac:dyDescent="0.35">
      <c r="A2" s="2" t="s">
        <v>54</v>
      </c>
      <c r="B2" s="2"/>
      <c r="C2" s="2">
        <v>1</v>
      </c>
      <c r="D2" s="2"/>
      <c r="E2" s="2">
        <v>1</v>
      </c>
      <c r="F2" s="2"/>
      <c r="G2" s="2">
        <v>1</v>
      </c>
      <c r="H2" s="2">
        <v>2</v>
      </c>
      <c r="I2" s="2">
        <v>2</v>
      </c>
      <c r="J2" s="2">
        <v>1</v>
      </c>
      <c r="K2" s="2"/>
      <c r="L2" s="2"/>
      <c r="M2" s="2"/>
      <c r="N2" s="2">
        <v>1</v>
      </c>
      <c r="O2" s="2"/>
    </row>
    <row r="3" spans="1:16" x14ac:dyDescent="0.35">
      <c r="A3" s="2" t="s">
        <v>31</v>
      </c>
      <c r="B3" s="2">
        <v>2</v>
      </c>
      <c r="C3" s="2"/>
      <c r="D3" s="2">
        <v>1</v>
      </c>
      <c r="E3" s="2"/>
      <c r="F3" s="2">
        <v>1</v>
      </c>
      <c r="G3" s="2"/>
      <c r="H3" s="2">
        <v>3</v>
      </c>
      <c r="I3" s="2">
        <v>1</v>
      </c>
      <c r="J3" s="2">
        <v>2</v>
      </c>
      <c r="K3" s="2">
        <v>1</v>
      </c>
      <c r="L3" s="2">
        <v>4</v>
      </c>
      <c r="M3" s="2">
        <v>3</v>
      </c>
      <c r="N3" s="2">
        <v>4</v>
      </c>
      <c r="O3" s="2"/>
    </row>
    <row r="4" spans="1:16" x14ac:dyDescent="0.35">
      <c r="A4" s="2" t="s">
        <v>97</v>
      </c>
      <c r="B4" s="2"/>
      <c r="C4" s="2"/>
      <c r="D4" s="2"/>
      <c r="E4" s="2">
        <v>1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spans="1:16" x14ac:dyDescent="0.35">
      <c r="A5" s="2" t="s">
        <v>23</v>
      </c>
      <c r="B5" s="2">
        <v>1</v>
      </c>
      <c r="C5" s="2">
        <v>1</v>
      </c>
      <c r="D5" s="2"/>
      <c r="E5" s="2">
        <v>1</v>
      </c>
      <c r="F5" s="2"/>
      <c r="G5" s="2"/>
      <c r="H5" s="2">
        <v>1</v>
      </c>
      <c r="I5" s="2"/>
      <c r="J5" s="2">
        <v>1</v>
      </c>
      <c r="K5" s="2">
        <v>2</v>
      </c>
      <c r="L5" s="2">
        <v>2</v>
      </c>
      <c r="M5" s="2">
        <v>3</v>
      </c>
      <c r="N5" s="2">
        <v>3</v>
      </c>
      <c r="O5" s="2"/>
    </row>
    <row r="6" spans="1:16" x14ac:dyDescent="0.35">
      <c r="A6" s="2" t="s">
        <v>32</v>
      </c>
      <c r="B6" s="2">
        <v>1</v>
      </c>
      <c r="C6" s="2"/>
      <c r="D6" s="2"/>
      <c r="E6" s="2"/>
      <c r="F6" s="2"/>
      <c r="G6" s="2"/>
      <c r="H6" s="2"/>
      <c r="I6" s="2">
        <v>2</v>
      </c>
      <c r="J6" s="2"/>
      <c r="K6" s="2">
        <v>1</v>
      </c>
      <c r="L6" s="2"/>
      <c r="M6" s="2"/>
      <c r="N6" s="2"/>
      <c r="O6" s="2"/>
    </row>
    <row r="7" spans="1:16" x14ac:dyDescent="0.35">
      <c r="A7" s="2" t="s">
        <v>260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x14ac:dyDescent="0.35">
      <c r="A8" s="2" t="s">
        <v>103</v>
      </c>
      <c r="B8" s="2"/>
      <c r="C8" s="2"/>
      <c r="D8" s="2"/>
      <c r="E8" s="2"/>
      <c r="F8" s="2">
        <v>1</v>
      </c>
      <c r="G8" s="2"/>
      <c r="H8" s="2"/>
      <c r="I8" s="2"/>
      <c r="J8" s="2"/>
      <c r="K8" s="2"/>
      <c r="L8" s="2"/>
      <c r="M8" s="2"/>
      <c r="N8" s="2"/>
      <c r="O8" s="2"/>
    </row>
    <row r="9" spans="1:16" x14ac:dyDescent="0.35">
      <c r="A9" s="2" t="s">
        <v>193</v>
      </c>
      <c r="B9" s="2"/>
      <c r="C9" s="2"/>
      <c r="D9" s="2"/>
      <c r="E9" s="2"/>
      <c r="F9" s="2"/>
      <c r="G9" s="2"/>
      <c r="H9" s="2"/>
      <c r="I9" s="2"/>
      <c r="J9" s="2">
        <v>1</v>
      </c>
      <c r="K9" s="2">
        <v>1</v>
      </c>
      <c r="L9" s="2"/>
      <c r="M9" s="2"/>
      <c r="N9" s="2"/>
      <c r="O9" s="2"/>
    </row>
    <row r="10" spans="1:16" x14ac:dyDescent="0.35">
      <c r="A10" s="2" t="s">
        <v>75</v>
      </c>
      <c r="B10" s="2"/>
      <c r="C10" s="2"/>
      <c r="D10" s="2"/>
      <c r="E10" s="2">
        <v>2</v>
      </c>
      <c r="F10" s="2">
        <v>2</v>
      </c>
      <c r="G10" s="2">
        <v>1</v>
      </c>
      <c r="H10" s="2"/>
      <c r="I10" s="2"/>
      <c r="J10" s="2"/>
      <c r="K10" s="2"/>
      <c r="L10" s="2"/>
      <c r="M10" s="2">
        <v>2</v>
      </c>
      <c r="N10" s="2"/>
      <c r="O10" s="2"/>
    </row>
    <row r="11" spans="1:16" x14ac:dyDescent="0.35">
      <c r="A11" s="2" t="s">
        <v>4</v>
      </c>
      <c r="B11" s="2">
        <v>14</v>
      </c>
      <c r="C11" s="2">
        <v>18</v>
      </c>
      <c r="D11" s="2">
        <v>19</v>
      </c>
      <c r="E11" s="2">
        <v>11</v>
      </c>
      <c r="F11" s="2">
        <v>10</v>
      </c>
      <c r="G11" s="2">
        <v>12</v>
      </c>
      <c r="H11" s="2">
        <v>12</v>
      </c>
      <c r="I11" s="2">
        <v>11</v>
      </c>
      <c r="J11" s="2">
        <v>14</v>
      </c>
      <c r="K11" s="2">
        <v>12</v>
      </c>
      <c r="L11" s="2">
        <v>8</v>
      </c>
      <c r="M11" s="2">
        <v>9</v>
      </c>
      <c r="N11" s="2">
        <v>11</v>
      </c>
      <c r="O11" s="2"/>
    </row>
    <row r="12" spans="1:16" x14ac:dyDescent="0.35">
      <c r="A12" s="2" t="s">
        <v>88</v>
      </c>
      <c r="B12" s="2"/>
      <c r="C12" s="2"/>
      <c r="D12" s="2"/>
      <c r="E12" s="2">
        <v>1</v>
      </c>
      <c r="F12" s="2">
        <v>2</v>
      </c>
      <c r="G12" s="2">
        <v>1</v>
      </c>
      <c r="H12" s="2"/>
      <c r="I12" s="2"/>
      <c r="J12" s="2"/>
      <c r="K12" s="2">
        <v>3</v>
      </c>
      <c r="L12" s="2">
        <v>3</v>
      </c>
      <c r="M12" s="2">
        <v>1</v>
      </c>
      <c r="N12" s="2">
        <v>1</v>
      </c>
      <c r="O12" s="2"/>
    </row>
    <row r="13" spans="1:16" x14ac:dyDescent="0.35">
      <c r="A13" s="2" t="s">
        <v>55</v>
      </c>
      <c r="B13" s="2"/>
      <c r="C13" s="2">
        <v>1</v>
      </c>
      <c r="D13" s="2"/>
      <c r="E13" s="2"/>
      <c r="F13" s="2"/>
      <c r="G13" s="2"/>
      <c r="H13" s="2"/>
      <c r="I13" s="2"/>
      <c r="J13" s="2">
        <v>1</v>
      </c>
      <c r="K13" s="2"/>
      <c r="L13" s="2">
        <v>1</v>
      </c>
      <c r="M13" s="2">
        <v>2</v>
      </c>
      <c r="N13" s="2">
        <v>2</v>
      </c>
      <c r="O13" s="2"/>
    </row>
    <row r="14" spans="1:16" x14ac:dyDescent="0.35">
      <c r="A14" s="2" t="s">
        <v>161</v>
      </c>
      <c r="B14" s="2"/>
      <c r="C14" s="2"/>
      <c r="D14" s="2"/>
      <c r="E14" s="2"/>
      <c r="F14" s="2"/>
      <c r="G14" s="2"/>
      <c r="H14" s="2"/>
      <c r="I14" s="2">
        <v>2</v>
      </c>
      <c r="J14" s="2"/>
      <c r="K14" s="2"/>
      <c r="L14" s="2"/>
      <c r="M14" s="2"/>
      <c r="N14" s="2">
        <v>1</v>
      </c>
      <c r="O14" s="2"/>
    </row>
    <row r="15" spans="1:16" x14ac:dyDescent="0.35">
      <c r="A15" s="2" t="s">
        <v>136</v>
      </c>
      <c r="B15" s="2"/>
      <c r="C15" s="2"/>
      <c r="D15" s="2"/>
      <c r="E15" s="2"/>
      <c r="F15" s="2"/>
      <c r="G15" s="2">
        <v>1</v>
      </c>
      <c r="H15" s="2"/>
      <c r="I15" s="2">
        <v>1</v>
      </c>
      <c r="J15" s="2"/>
      <c r="K15" s="2"/>
      <c r="L15" s="2"/>
      <c r="M15" s="2"/>
      <c r="N15" s="2"/>
      <c r="O15" s="2"/>
    </row>
    <row r="16" spans="1:16" x14ac:dyDescent="0.35">
      <c r="A16" s="2" t="s">
        <v>3</v>
      </c>
      <c r="B16" s="2">
        <v>2</v>
      </c>
      <c r="C16" s="2"/>
      <c r="D16" s="2"/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2</v>
      </c>
      <c r="L16" s="2">
        <v>2</v>
      </c>
      <c r="M16" s="2">
        <v>3</v>
      </c>
      <c r="N16" s="2">
        <v>2</v>
      </c>
      <c r="O16" s="2"/>
    </row>
    <row r="17" spans="1:15" x14ac:dyDescent="0.35">
      <c r="A17" s="2" t="s">
        <v>72</v>
      </c>
      <c r="B17" s="2"/>
      <c r="C17" s="2"/>
      <c r="D17" s="2">
        <v>1</v>
      </c>
      <c r="E17" s="2">
        <v>1</v>
      </c>
      <c r="F17" s="2">
        <v>1</v>
      </c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5">
      <c r="A18" s="2" t="s">
        <v>79</v>
      </c>
      <c r="B18" s="2"/>
      <c r="C18" s="2"/>
      <c r="D18" s="2"/>
      <c r="E18" s="2">
        <v>1</v>
      </c>
      <c r="F18" s="2">
        <v>2</v>
      </c>
      <c r="G18" s="2">
        <v>2</v>
      </c>
      <c r="H18" s="2"/>
      <c r="I18" s="2">
        <v>2</v>
      </c>
      <c r="J18" s="2"/>
      <c r="K18" s="2"/>
      <c r="L18" s="2"/>
      <c r="M18" s="2"/>
      <c r="N18" s="2"/>
      <c r="O18" s="2"/>
    </row>
    <row r="19" spans="1:15" x14ac:dyDescent="0.35">
      <c r="A19" s="2" t="s">
        <v>121</v>
      </c>
      <c r="B19" s="2"/>
      <c r="C19" s="2"/>
      <c r="D19" s="2"/>
      <c r="E19" s="2"/>
      <c r="F19" s="2"/>
      <c r="G19" s="2">
        <v>2</v>
      </c>
      <c r="H19" s="2"/>
      <c r="I19" s="2"/>
      <c r="J19" s="2">
        <v>1</v>
      </c>
      <c r="K19" s="2"/>
      <c r="L19" s="2"/>
      <c r="M19" s="2"/>
      <c r="N19" s="2"/>
      <c r="O19" s="2"/>
    </row>
    <row r="20" spans="1:15" x14ac:dyDescent="0.35">
      <c r="A20" s="2" t="s">
        <v>85</v>
      </c>
      <c r="B20" s="2"/>
      <c r="C20" s="2"/>
      <c r="D20" s="2"/>
      <c r="E20" s="2">
        <v>1</v>
      </c>
      <c r="F20" s="2"/>
      <c r="G20" s="2"/>
      <c r="H20" s="2">
        <v>1</v>
      </c>
      <c r="I20" s="2"/>
      <c r="J20" s="2">
        <v>1</v>
      </c>
      <c r="K20" s="2"/>
      <c r="L20" s="2"/>
      <c r="M20" s="2"/>
      <c r="N20" s="2"/>
      <c r="O20" s="2"/>
    </row>
    <row r="21" spans="1:15" x14ac:dyDescent="0.35">
      <c r="A21" s="2" t="s">
        <v>261</v>
      </c>
      <c r="B21" s="2">
        <v>2</v>
      </c>
      <c r="C21" s="2">
        <v>1</v>
      </c>
      <c r="D21" s="2">
        <v>1</v>
      </c>
      <c r="E21" s="2">
        <v>1</v>
      </c>
      <c r="F21" s="2"/>
      <c r="G21" s="2"/>
      <c r="H21" s="2"/>
      <c r="I21" s="2"/>
      <c r="J21" s="2"/>
      <c r="K21" s="2">
        <v>1</v>
      </c>
      <c r="L21" s="2">
        <v>1</v>
      </c>
      <c r="M21" s="2">
        <v>1</v>
      </c>
      <c r="N21" s="2">
        <v>1</v>
      </c>
      <c r="O2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BD9B-DD1B-4FF4-B9F3-6657E9623D36}">
  <dimension ref="A1:P72"/>
  <sheetViews>
    <sheetView tabSelected="1" topLeftCell="A43" workbookViewId="0">
      <selection activeCell="H79" sqref="H79"/>
    </sheetView>
  </sheetViews>
  <sheetFormatPr baseColWidth="10" defaultRowHeight="14.5" x14ac:dyDescent="0.35"/>
  <cols>
    <col min="2" max="2" width="11.1796875" bestFit="1" customWidth="1"/>
  </cols>
  <sheetData>
    <row r="1" spans="1:16" x14ac:dyDescent="0.35">
      <c r="A1" s="4" t="s">
        <v>2</v>
      </c>
      <c r="B1" s="3">
        <v>1930</v>
      </c>
      <c r="C1" s="3">
        <v>1950</v>
      </c>
      <c r="D1" s="3">
        <v>1954</v>
      </c>
      <c r="E1" s="3">
        <v>1966</v>
      </c>
      <c r="F1" s="3">
        <v>1970</v>
      </c>
      <c r="G1" s="3">
        <v>1974</v>
      </c>
      <c r="H1" s="3">
        <v>1986</v>
      </c>
      <c r="I1" s="3">
        <v>1990</v>
      </c>
      <c r="J1" s="3">
        <v>2002</v>
      </c>
      <c r="K1" s="3">
        <v>2010</v>
      </c>
      <c r="L1" s="3">
        <v>2014</v>
      </c>
      <c r="M1" s="3">
        <v>2018</v>
      </c>
      <c r="N1" s="3">
        <v>2022</v>
      </c>
      <c r="O1" s="3">
        <v>2026</v>
      </c>
      <c r="P1" s="14">
        <v>2030</v>
      </c>
    </row>
    <row r="2" spans="1:16" x14ac:dyDescent="0.35">
      <c r="A2" s="2" t="s">
        <v>54</v>
      </c>
      <c r="B2" s="6">
        <v>26321</v>
      </c>
      <c r="C2" s="6">
        <v>52843</v>
      </c>
      <c r="D2" s="6">
        <v>52843</v>
      </c>
      <c r="E2" s="6">
        <v>52843</v>
      </c>
      <c r="F2" s="6">
        <v>57947</v>
      </c>
      <c r="G2" s="6">
        <v>57947</v>
      </c>
      <c r="H2" s="6">
        <v>69145</v>
      </c>
      <c r="I2" s="6">
        <v>69145</v>
      </c>
      <c r="J2" s="6">
        <v>78019</v>
      </c>
      <c r="K2" s="6">
        <v>73378</v>
      </c>
      <c r="L2" s="6">
        <v>73378</v>
      </c>
      <c r="M2" s="6">
        <v>77488</v>
      </c>
      <c r="N2" s="6">
        <v>77488</v>
      </c>
      <c r="O2" s="61">
        <v>77295.92479943487</v>
      </c>
      <c r="P2" s="61">
        <v>77069.041843416344</v>
      </c>
    </row>
    <row r="3" spans="1:16" x14ac:dyDescent="0.35">
      <c r="A3" s="2" t="s">
        <v>31</v>
      </c>
      <c r="B3" s="6">
        <v>87874</v>
      </c>
      <c r="C3" s="6">
        <v>258195</v>
      </c>
      <c r="D3" s="6">
        <v>258195</v>
      </c>
      <c r="E3" s="6">
        <v>258195</v>
      </c>
      <c r="F3" s="6">
        <v>325594</v>
      </c>
      <c r="G3" s="6">
        <v>325594</v>
      </c>
      <c r="H3" s="6">
        <v>364248</v>
      </c>
      <c r="I3" s="6">
        <v>364248</v>
      </c>
      <c r="J3" s="6">
        <v>485240</v>
      </c>
      <c r="K3" s="6">
        <v>520187</v>
      </c>
      <c r="L3" s="6">
        <v>520187</v>
      </c>
      <c r="M3" s="6">
        <v>608960</v>
      </c>
      <c r="N3" s="6">
        <v>608960</v>
      </c>
      <c r="O3" s="61">
        <v>621284.91461294354</v>
      </c>
      <c r="P3" s="61">
        <v>635618.60674156109</v>
      </c>
    </row>
    <row r="4" spans="1:16" x14ac:dyDescent="0.35">
      <c r="A4" s="2" t="s">
        <v>97</v>
      </c>
      <c r="B4" s="6">
        <v>44742</v>
      </c>
      <c r="C4" s="6">
        <v>71023</v>
      </c>
      <c r="D4" s="6">
        <v>71023</v>
      </c>
      <c r="E4" s="6">
        <v>71023</v>
      </c>
      <c r="F4" s="6">
        <v>74027</v>
      </c>
      <c r="G4" s="6">
        <v>74027</v>
      </c>
      <c r="H4" s="6">
        <v>78416</v>
      </c>
      <c r="I4" s="6">
        <v>78416</v>
      </c>
      <c r="J4" s="6">
        <v>86564</v>
      </c>
      <c r="K4" s="6">
        <v>84698</v>
      </c>
      <c r="L4" s="6">
        <v>84698</v>
      </c>
      <c r="M4" s="6">
        <v>91260</v>
      </c>
      <c r="N4" s="6">
        <v>91260</v>
      </c>
      <c r="O4" s="61">
        <v>90303.969682405834</v>
      </c>
      <c r="P4" s="61">
        <v>89700.334329417426</v>
      </c>
    </row>
    <row r="5" spans="1:16" x14ac:dyDescent="0.35">
      <c r="A5" s="2" t="s">
        <v>23</v>
      </c>
      <c r="B5" s="6">
        <v>54644</v>
      </c>
      <c r="C5" s="6">
        <v>105276</v>
      </c>
      <c r="D5" s="6">
        <v>105276</v>
      </c>
      <c r="E5" s="6">
        <v>105276</v>
      </c>
      <c r="F5" s="6">
        <v>111832</v>
      </c>
      <c r="G5" s="6">
        <v>111832</v>
      </c>
      <c r="H5" s="6">
        <v>112717</v>
      </c>
      <c r="I5" s="6">
        <v>112717</v>
      </c>
      <c r="J5" s="6">
        <v>119266</v>
      </c>
      <c r="K5" s="6">
        <v>123203</v>
      </c>
      <c r="L5" s="6">
        <v>123203</v>
      </c>
      <c r="M5" s="6">
        <v>135757</v>
      </c>
      <c r="N5" s="6">
        <v>135757</v>
      </c>
      <c r="O5" s="61">
        <v>135915.94669362728</v>
      </c>
      <c r="P5" s="61">
        <v>135706.48394172452</v>
      </c>
    </row>
    <row r="6" spans="1:16" x14ac:dyDescent="0.35">
      <c r="A6" s="2" t="s">
        <v>32</v>
      </c>
      <c r="B6" s="6">
        <v>42325</v>
      </c>
      <c r="C6" s="6">
        <v>53635</v>
      </c>
      <c r="D6" s="6">
        <v>53635</v>
      </c>
      <c r="E6" s="6">
        <v>53635</v>
      </c>
      <c r="F6" s="6">
        <v>55699</v>
      </c>
      <c r="G6" s="6">
        <v>55699</v>
      </c>
      <c r="H6" s="6">
        <v>55077</v>
      </c>
      <c r="I6" s="6">
        <v>55077</v>
      </c>
      <c r="J6" s="6">
        <v>58859</v>
      </c>
      <c r="K6" s="6">
        <v>57088</v>
      </c>
      <c r="L6" s="6">
        <v>57088</v>
      </c>
      <c r="M6" s="6">
        <v>62010</v>
      </c>
      <c r="N6" s="6">
        <v>62010</v>
      </c>
      <c r="O6" s="61">
        <v>61921.777220934993</v>
      </c>
      <c r="P6" s="61">
        <v>61721.451728121217</v>
      </c>
    </row>
    <row r="7" spans="1:16" x14ac:dyDescent="0.35">
      <c r="A7" s="2" t="s">
        <v>260</v>
      </c>
      <c r="B7" s="6">
        <v>16082</v>
      </c>
      <c r="C7" s="6">
        <v>23805</v>
      </c>
      <c r="D7" s="6">
        <v>23805</v>
      </c>
      <c r="E7" s="6">
        <v>23805</v>
      </c>
      <c r="F7" s="6">
        <v>24745</v>
      </c>
      <c r="G7" s="6">
        <v>24745</v>
      </c>
      <c r="H7" s="6">
        <v>24739</v>
      </c>
      <c r="I7" s="6">
        <v>24739</v>
      </c>
      <c r="J7" s="6">
        <v>25104</v>
      </c>
      <c r="K7" s="6">
        <v>25050</v>
      </c>
      <c r="L7" s="6">
        <v>25050</v>
      </c>
      <c r="M7" s="6">
        <v>26301</v>
      </c>
      <c r="N7" s="6">
        <v>26301</v>
      </c>
      <c r="O7" s="61">
        <v>25911.27365944242</v>
      </c>
      <c r="P7" s="61">
        <v>25659.393626969922</v>
      </c>
    </row>
    <row r="8" spans="1:16" x14ac:dyDescent="0.35">
      <c r="A8" s="2" t="s">
        <v>103</v>
      </c>
      <c r="B8" s="6">
        <v>45406</v>
      </c>
      <c r="C8" s="6">
        <v>63987</v>
      </c>
      <c r="D8" s="6">
        <v>63987</v>
      </c>
      <c r="E8" s="6">
        <v>63987</v>
      </c>
      <c r="F8" s="6">
        <v>67129</v>
      </c>
      <c r="G8" s="6">
        <v>67129</v>
      </c>
      <c r="H8" s="6">
        <v>66474</v>
      </c>
      <c r="I8" s="6">
        <v>66474</v>
      </c>
      <c r="J8" s="6">
        <v>68181</v>
      </c>
      <c r="K8" s="6">
        <v>67048</v>
      </c>
      <c r="L8" s="6">
        <v>67048</v>
      </c>
      <c r="M8" s="6">
        <v>70324</v>
      </c>
      <c r="N8" s="6">
        <v>70324</v>
      </c>
      <c r="O8" s="61">
        <v>69951.124892338616</v>
      </c>
      <c r="P8" s="61">
        <v>69719.000031458796</v>
      </c>
    </row>
    <row r="9" spans="1:16" x14ac:dyDescent="0.35">
      <c r="A9" s="2" t="s">
        <v>193</v>
      </c>
      <c r="B9" s="6">
        <v>51222</v>
      </c>
      <c r="C9" s="6">
        <v>65823</v>
      </c>
      <c r="D9" s="6">
        <v>65823</v>
      </c>
      <c r="E9" s="6">
        <v>65823</v>
      </c>
      <c r="F9" s="6">
        <v>65180</v>
      </c>
      <c r="G9" s="6">
        <v>65180</v>
      </c>
      <c r="H9" s="6">
        <v>61466</v>
      </c>
      <c r="I9" s="6">
        <v>61466</v>
      </c>
      <c r="J9" s="6">
        <v>60925</v>
      </c>
      <c r="K9" s="6">
        <v>58815</v>
      </c>
      <c r="L9" s="6">
        <v>58815</v>
      </c>
      <c r="M9" s="6">
        <v>59173</v>
      </c>
      <c r="N9" s="6">
        <v>59173</v>
      </c>
      <c r="O9" s="61">
        <v>58120.057602674424</v>
      </c>
      <c r="P9" s="61">
        <v>57155.870965143469</v>
      </c>
    </row>
    <row r="10" spans="1:16" x14ac:dyDescent="0.35">
      <c r="A10" s="2" t="s">
        <v>75</v>
      </c>
      <c r="B10" s="6">
        <v>28820</v>
      </c>
      <c r="C10" s="6">
        <v>61259</v>
      </c>
      <c r="D10" s="6">
        <v>61259</v>
      </c>
      <c r="E10" s="6">
        <v>61259</v>
      </c>
      <c r="F10" s="6">
        <v>76211</v>
      </c>
      <c r="G10" s="6">
        <v>76211</v>
      </c>
      <c r="H10" s="6">
        <v>94314</v>
      </c>
      <c r="I10" s="6">
        <v>94314</v>
      </c>
      <c r="J10" s="6">
        <v>140192</v>
      </c>
      <c r="K10" s="6">
        <v>164300</v>
      </c>
      <c r="L10" s="6">
        <v>164300</v>
      </c>
      <c r="M10" s="6">
        <v>212954</v>
      </c>
      <c r="N10" s="6">
        <v>212954</v>
      </c>
      <c r="O10" s="61">
        <v>218438.44551262326</v>
      </c>
      <c r="P10" s="61">
        <v>225052.44643362059</v>
      </c>
    </row>
    <row r="11" spans="1:16" x14ac:dyDescent="0.35">
      <c r="A11" s="2" t="s">
        <v>4</v>
      </c>
      <c r="B11" s="6">
        <v>309231</v>
      </c>
      <c r="C11" s="6">
        <v>1202757</v>
      </c>
      <c r="D11" s="6">
        <v>1202757</v>
      </c>
      <c r="E11" s="6">
        <v>1202757</v>
      </c>
      <c r="F11" s="6">
        <v>1237227</v>
      </c>
      <c r="G11" s="6">
        <v>1237227</v>
      </c>
      <c r="H11" s="6">
        <v>1311976</v>
      </c>
      <c r="I11" s="6">
        <v>1311976</v>
      </c>
      <c r="J11" s="6">
        <v>1325968</v>
      </c>
      <c r="K11" s="6">
        <v>1319108</v>
      </c>
      <c r="L11" s="6">
        <v>1319108</v>
      </c>
      <c r="M11" s="6">
        <v>1302721</v>
      </c>
      <c r="N11" s="6">
        <v>1302721</v>
      </c>
      <c r="O11" s="61">
        <v>1271512.854762397</v>
      </c>
      <c r="P11" s="61">
        <v>1242210.3267990681</v>
      </c>
    </row>
    <row r="12" spans="1:16" x14ac:dyDescent="0.35">
      <c r="A12" s="2" t="s">
        <v>88</v>
      </c>
      <c r="B12" s="6">
        <v>38421</v>
      </c>
      <c r="C12" s="6">
        <v>88029</v>
      </c>
      <c r="D12" s="6">
        <v>88029</v>
      </c>
      <c r="E12" s="6">
        <v>88029</v>
      </c>
      <c r="F12" s="6">
        <v>98508</v>
      </c>
      <c r="G12" s="6">
        <v>98508</v>
      </c>
      <c r="H12" s="6">
        <v>103763</v>
      </c>
      <c r="I12" s="6">
        <v>103763</v>
      </c>
      <c r="J12" s="6">
        <v>113244</v>
      </c>
      <c r="K12" s="6">
        <v>113124</v>
      </c>
      <c r="L12" s="6">
        <v>113124</v>
      </c>
      <c r="M12" s="6">
        <v>121838</v>
      </c>
      <c r="N12" s="6">
        <v>121838</v>
      </c>
      <c r="O12" s="61">
        <v>121450.8336908393</v>
      </c>
      <c r="P12" s="61">
        <v>120988.51168791682</v>
      </c>
    </row>
    <row r="13" spans="1:16" x14ac:dyDescent="0.35">
      <c r="A13" s="2" t="s">
        <v>55</v>
      </c>
      <c r="B13" s="6">
        <v>19932</v>
      </c>
      <c r="C13" s="6">
        <v>46861</v>
      </c>
      <c r="D13" s="6">
        <v>46861</v>
      </c>
      <c r="E13" s="6">
        <v>46861</v>
      </c>
      <c r="F13" s="6">
        <v>50123</v>
      </c>
      <c r="G13" s="6">
        <v>50123</v>
      </c>
      <c r="H13" s="6">
        <v>48644</v>
      </c>
      <c r="I13" s="6">
        <v>48644</v>
      </c>
      <c r="J13" s="6">
        <v>53989</v>
      </c>
      <c r="K13" s="6">
        <v>54765</v>
      </c>
      <c r="L13" s="6">
        <v>54765</v>
      </c>
      <c r="M13" s="6">
        <v>57338</v>
      </c>
      <c r="N13" s="6">
        <v>57338</v>
      </c>
      <c r="O13" s="61">
        <v>56959.233304874375</v>
      </c>
      <c r="P13" s="61">
        <v>56686.550123166307</v>
      </c>
    </row>
    <row r="14" spans="1:16" x14ac:dyDescent="0.35">
      <c r="A14" s="2" t="s">
        <v>161</v>
      </c>
      <c r="B14" s="6">
        <v>35683</v>
      </c>
      <c r="C14" s="6">
        <v>77086</v>
      </c>
      <c r="D14" s="6">
        <v>77086</v>
      </c>
      <c r="E14" s="6">
        <v>77086</v>
      </c>
      <c r="F14" s="6">
        <v>82043</v>
      </c>
      <c r="G14" s="6">
        <v>82043</v>
      </c>
      <c r="H14" s="6">
        <v>89475</v>
      </c>
      <c r="I14" s="6">
        <v>89475</v>
      </c>
      <c r="J14" s="6">
        <v>104921</v>
      </c>
      <c r="K14" s="6">
        <v>103493</v>
      </c>
      <c r="L14" s="6">
        <v>103493</v>
      </c>
      <c r="M14" s="6">
        <v>109299</v>
      </c>
      <c r="N14" s="6">
        <v>109299</v>
      </c>
      <c r="O14" s="61">
        <v>109074.76946245007</v>
      </c>
      <c r="P14" s="61">
        <v>108955.55858684455</v>
      </c>
    </row>
    <row r="15" spans="1:16" x14ac:dyDescent="0.35">
      <c r="A15" s="2" t="s">
        <v>136</v>
      </c>
      <c r="B15" s="6">
        <v>34119</v>
      </c>
      <c r="C15" s="6">
        <v>55097</v>
      </c>
      <c r="D15" s="6">
        <v>55097</v>
      </c>
      <c r="E15" s="6">
        <v>55097</v>
      </c>
      <c r="F15" s="6">
        <v>60258</v>
      </c>
      <c r="G15" s="6">
        <v>60258</v>
      </c>
      <c r="H15" s="6">
        <v>66601</v>
      </c>
      <c r="I15" s="6">
        <v>66601</v>
      </c>
      <c r="J15" s="6">
        <v>69937</v>
      </c>
      <c r="K15" s="6">
        <v>68088</v>
      </c>
      <c r="L15" s="6">
        <v>68088</v>
      </c>
      <c r="M15" s="6">
        <v>80710</v>
      </c>
      <c r="N15" s="6">
        <v>80710</v>
      </c>
      <c r="O15" s="61">
        <v>81094.623042219871</v>
      </c>
      <c r="P15" s="61">
        <v>81513.319812080153</v>
      </c>
    </row>
    <row r="16" spans="1:16" x14ac:dyDescent="0.35">
      <c r="A16" s="2" t="s">
        <v>3</v>
      </c>
      <c r="B16" s="6">
        <v>46259</v>
      </c>
      <c r="C16" s="6">
        <v>92183</v>
      </c>
      <c r="D16" s="6">
        <v>92183</v>
      </c>
      <c r="E16" s="6">
        <v>92183</v>
      </c>
      <c r="F16" s="6">
        <v>103074</v>
      </c>
      <c r="G16" s="6">
        <v>103074</v>
      </c>
      <c r="H16" s="6">
        <v>108487</v>
      </c>
      <c r="I16" s="6">
        <v>108487</v>
      </c>
      <c r="J16" s="6">
        <v>123120</v>
      </c>
      <c r="K16" s="6">
        <v>124878</v>
      </c>
      <c r="L16" s="6">
        <v>124878</v>
      </c>
      <c r="M16" s="6">
        <v>136195</v>
      </c>
      <c r="N16" s="6">
        <v>136195</v>
      </c>
      <c r="O16" s="61">
        <v>136111.23340996023</v>
      </c>
      <c r="P16" s="61">
        <v>135860.05550941941</v>
      </c>
    </row>
    <row r="17" spans="1:16" x14ac:dyDescent="0.35">
      <c r="A17" s="2" t="s">
        <v>72</v>
      </c>
      <c r="B17" s="6">
        <v>46324</v>
      </c>
      <c r="C17" s="6">
        <v>79393</v>
      </c>
      <c r="D17" s="6">
        <v>79393</v>
      </c>
      <c r="E17" s="6">
        <v>79393</v>
      </c>
      <c r="F17" s="6">
        <v>88000</v>
      </c>
      <c r="G17" s="6">
        <v>88000</v>
      </c>
      <c r="H17" s="6">
        <v>89893</v>
      </c>
      <c r="I17" s="6">
        <v>89893</v>
      </c>
      <c r="J17" s="6">
        <v>103104</v>
      </c>
      <c r="K17" s="6">
        <v>108309</v>
      </c>
      <c r="L17" s="6">
        <v>108309</v>
      </c>
      <c r="M17" s="6">
        <v>119718</v>
      </c>
      <c r="N17" s="6">
        <v>119718</v>
      </c>
      <c r="O17" s="61">
        <v>120428.0109295799</v>
      </c>
      <c r="P17" s="61">
        <v>121063.2390550929</v>
      </c>
    </row>
    <row r="18" spans="1:16" x14ac:dyDescent="0.35">
      <c r="A18" s="2" t="s">
        <v>79</v>
      </c>
      <c r="B18" s="6">
        <v>39565</v>
      </c>
      <c r="C18" s="6">
        <v>77875</v>
      </c>
      <c r="D18" s="6">
        <v>77875</v>
      </c>
      <c r="E18" s="6">
        <v>77875</v>
      </c>
      <c r="F18" s="6">
        <v>80614</v>
      </c>
      <c r="G18" s="6">
        <v>80614</v>
      </c>
      <c r="H18" s="6">
        <v>79439</v>
      </c>
      <c r="I18" s="6">
        <v>79439</v>
      </c>
      <c r="J18" s="6">
        <v>84563</v>
      </c>
      <c r="K18" s="6">
        <v>82595</v>
      </c>
      <c r="L18" s="6">
        <v>82595</v>
      </c>
      <c r="M18" s="6">
        <v>83684</v>
      </c>
      <c r="N18" s="6">
        <v>83684</v>
      </c>
      <c r="O18" s="61">
        <v>82601.913318977924</v>
      </c>
      <c r="P18" s="61">
        <v>81260.506993390081</v>
      </c>
    </row>
    <row r="19" spans="1:16" x14ac:dyDescent="0.35">
      <c r="A19" s="2" t="s">
        <v>121</v>
      </c>
      <c r="B19" s="6">
        <v>46939</v>
      </c>
      <c r="C19" s="6">
        <v>76964</v>
      </c>
      <c r="D19" s="6">
        <v>76964</v>
      </c>
      <c r="E19" s="6">
        <v>76964</v>
      </c>
      <c r="F19" s="6">
        <v>84535</v>
      </c>
      <c r="G19" s="6">
        <v>84535</v>
      </c>
      <c r="H19" s="6">
        <v>83498</v>
      </c>
      <c r="I19" s="6">
        <v>83498</v>
      </c>
      <c r="J19" s="6">
        <v>90489</v>
      </c>
      <c r="K19" s="6">
        <v>90053</v>
      </c>
      <c r="L19" s="6">
        <v>90053</v>
      </c>
      <c r="M19" s="6">
        <v>96016</v>
      </c>
      <c r="N19" s="6">
        <v>96016</v>
      </c>
      <c r="O19" s="61">
        <v>95627.030107519196</v>
      </c>
      <c r="P19" s="61">
        <v>95043.70211343313</v>
      </c>
    </row>
    <row r="20" spans="1:16" x14ac:dyDescent="0.35">
      <c r="A20" s="2" t="s">
        <v>85</v>
      </c>
      <c r="B20" s="6">
        <v>28777</v>
      </c>
      <c r="C20" s="6">
        <v>43419</v>
      </c>
      <c r="D20" s="6">
        <v>43419</v>
      </c>
      <c r="E20" s="6">
        <v>43419</v>
      </c>
      <c r="F20" s="6">
        <v>45683</v>
      </c>
      <c r="G20" s="6">
        <v>45683</v>
      </c>
      <c r="H20" s="6">
        <v>46869</v>
      </c>
      <c r="I20" s="6">
        <v>46869</v>
      </c>
      <c r="J20" s="6">
        <v>49318</v>
      </c>
      <c r="K20" s="6">
        <v>48134</v>
      </c>
      <c r="L20" s="6">
        <v>48134</v>
      </c>
      <c r="M20" s="6">
        <v>47705</v>
      </c>
      <c r="N20" s="6">
        <v>47705</v>
      </c>
      <c r="O20" s="61">
        <v>46597.247875116685</v>
      </c>
      <c r="P20" s="61">
        <v>45481.694822970661</v>
      </c>
    </row>
    <row r="21" spans="1:16" x14ac:dyDescent="0.35">
      <c r="A21" s="2" t="s">
        <v>261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6" x14ac:dyDescent="0.35">
      <c r="A22" s="38" t="s">
        <v>291</v>
      </c>
      <c r="B22" s="37">
        <v>1908</v>
      </c>
      <c r="C22" s="37">
        <v>1963</v>
      </c>
      <c r="D22" s="37">
        <v>1963</v>
      </c>
      <c r="E22" s="37">
        <v>1963</v>
      </c>
      <c r="F22" s="37">
        <v>1975</v>
      </c>
      <c r="G22" s="37">
        <v>1975</v>
      </c>
      <c r="H22" s="37">
        <v>1985</v>
      </c>
      <c r="I22" s="37">
        <v>1985</v>
      </c>
      <c r="J22" s="37">
        <v>2004</v>
      </c>
      <c r="K22" s="37">
        <v>2011</v>
      </c>
      <c r="L22" s="37">
        <v>2011</v>
      </c>
      <c r="M22" s="37">
        <v>2023</v>
      </c>
      <c r="N22" s="37">
        <v>2023</v>
      </c>
      <c r="O22" s="39">
        <v>2026</v>
      </c>
      <c r="P22" s="39">
        <v>2030</v>
      </c>
    </row>
    <row r="26" spans="1:16" x14ac:dyDescent="0.35">
      <c r="A26" s="4" t="s">
        <v>2</v>
      </c>
      <c r="B26" s="3">
        <v>1930</v>
      </c>
      <c r="C26" s="3">
        <v>1950</v>
      </c>
      <c r="D26" s="3">
        <v>1954</v>
      </c>
      <c r="E26" s="3">
        <v>1966</v>
      </c>
      <c r="F26" s="3">
        <v>1970</v>
      </c>
      <c r="G26" s="3">
        <v>1974</v>
      </c>
      <c r="H26" s="3">
        <v>1986</v>
      </c>
      <c r="I26" s="3">
        <v>1990</v>
      </c>
      <c r="J26" s="3">
        <v>2002</v>
      </c>
      <c r="K26" s="3">
        <v>2010</v>
      </c>
      <c r="L26" s="3">
        <v>2014</v>
      </c>
      <c r="M26" s="3">
        <v>2018</v>
      </c>
      <c r="N26" s="3">
        <v>2022</v>
      </c>
      <c r="O26" s="3">
        <v>2026</v>
      </c>
    </row>
    <row r="27" spans="1:16" x14ac:dyDescent="0.35">
      <c r="A27" s="2" t="s">
        <v>54</v>
      </c>
      <c r="B27" s="2"/>
      <c r="C27" s="2">
        <v>1</v>
      </c>
      <c r="D27" s="2"/>
      <c r="E27" s="2">
        <v>1</v>
      </c>
      <c r="F27" s="2"/>
      <c r="G27" s="2">
        <v>1</v>
      </c>
      <c r="H27" s="2">
        <v>2</v>
      </c>
      <c r="I27" s="2">
        <v>2</v>
      </c>
      <c r="J27" s="2">
        <v>1</v>
      </c>
      <c r="K27" s="2"/>
      <c r="L27" s="2"/>
      <c r="M27" s="2"/>
      <c r="N27" s="2">
        <v>1</v>
      </c>
      <c r="O27" s="2"/>
    </row>
    <row r="28" spans="1:16" x14ac:dyDescent="0.35">
      <c r="A28" s="2" t="s">
        <v>31</v>
      </c>
      <c r="B28" s="2">
        <v>2</v>
      </c>
      <c r="C28" s="2"/>
      <c r="D28" s="2">
        <v>1</v>
      </c>
      <c r="E28" s="2"/>
      <c r="F28" s="2">
        <v>1</v>
      </c>
      <c r="G28" s="2"/>
      <c r="H28" s="2">
        <v>3</v>
      </c>
      <c r="I28" s="2">
        <v>1</v>
      </c>
      <c r="J28" s="2">
        <v>2</v>
      </c>
      <c r="K28" s="2">
        <v>1</v>
      </c>
      <c r="L28" s="2">
        <v>4</v>
      </c>
      <c r="M28" s="2">
        <v>3</v>
      </c>
      <c r="N28" s="2">
        <v>4</v>
      </c>
      <c r="O28" s="2"/>
    </row>
    <row r="29" spans="1:16" x14ac:dyDescent="0.35">
      <c r="A29" s="2" t="s">
        <v>97</v>
      </c>
      <c r="B29" s="2"/>
      <c r="C29" s="2"/>
      <c r="D29" s="2"/>
      <c r="E29" s="2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6" x14ac:dyDescent="0.35">
      <c r="A30" s="2" t="s">
        <v>23</v>
      </c>
      <c r="B30" s="2">
        <v>1</v>
      </c>
      <c r="C30" s="2">
        <v>1</v>
      </c>
      <c r="D30" s="2"/>
      <c r="E30" s="2">
        <v>1</v>
      </c>
      <c r="F30" s="2"/>
      <c r="G30" s="2"/>
      <c r="H30" s="2">
        <v>1</v>
      </c>
      <c r="I30" s="2"/>
      <c r="J30" s="2">
        <v>1</v>
      </c>
      <c r="K30" s="2">
        <v>2</v>
      </c>
      <c r="L30" s="2">
        <v>2</v>
      </c>
      <c r="M30" s="2">
        <v>3</v>
      </c>
      <c r="N30" s="2">
        <v>3</v>
      </c>
      <c r="O30" s="2"/>
    </row>
    <row r="31" spans="1:16" x14ac:dyDescent="0.35">
      <c r="A31" s="2" t="s">
        <v>32</v>
      </c>
      <c r="B31" s="2">
        <v>1</v>
      </c>
      <c r="C31" s="2"/>
      <c r="D31" s="2"/>
      <c r="E31" s="2"/>
      <c r="F31" s="2"/>
      <c r="G31" s="2"/>
      <c r="H31" s="2"/>
      <c r="I31" s="2">
        <v>2</v>
      </c>
      <c r="J31" s="2"/>
      <c r="K31" s="2">
        <v>1</v>
      </c>
      <c r="L31" s="2"/>
      <c r="M31" s="2"/>
      <c r="N31" s="2"/>
      <c r="O31" s="2"/>
    </row>
    <row r="32" spans="1:16" x14ac:dyDescent="0.35">
      <c r="A32" s="2" t="s">
        <v>260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5">
      <c r="A33" s="2" t="s">
        <v>103</v>
      </c>
      <c r="B33" s="2"/>
      <c r="C33" s="2"/>
      <c r="D33" s="2"/>
      <c r="E33" s="2"/>
      <c r="F33" s="2">
        <v>1</v>
      </c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35">
      <c r="A34" s="2" t="s">
        <v>193</v>
      </c>
      <c r="B34" s="2"/>
      <c r="C34" s="2"/>
      <c r="D34" s="2"/>
      <c r="E34" s="2"/>
      <c r="F34" s="2"/>
      <c r="G34" s="2"/>
      <c r="H34" s="2"/>
      <c r="I34" s="2"/>
      <c r="J34" s="2">
        <v>1</v>
      </c>
      <c r="K34" s="2">
        <v>1</v>
      </c>
      <c r="L34" s="2"/>
      <c r="M34" s="2"/>
      <c r="N34" s="2"/>
      <c r="O34" s="2"/>
    </row>
    <row r="35" spans="1:15" x14ac:dyDescent="0.35">
      <c r="A35" s="2" t="s">
        <v>75</v>
      </c>
      <c r="B35" s="2"/>
      <c r="C35" s="2"/>
      <c r="D35" s="2"/>
      <c r="E35" s="2">
        <v>2</v>
      </c>
      <c r="F35" s="2">
        <v>2</v>
      </c>
      <c r="G35" s="2">
        <v>1</v>
      </c>
      <c r="H35" s="2"/>
      <c r="I35" s="2"/>
      <c r="J35" s="2"/>
      <c r="K35" s="2"/>
      <c r="L35" s="2"/>
      <c r="M35" s="2">
        <v>2</v>
      </c>
      <c r="N35" s="2"/>
      <c r="O35" s="2"/>
    </row>
    <row r="36" spans="1:15" x14ac:dyDescent="0.35">
      <c r="A36" s="2" t="s">
        <v>4</v>
      </c>
      <c r="B36" s="2">
        <v>14</v>
      </c>
      <c r="C36" s="2">
        <v>18</v>
      </c>
      <c r="D36" s="2">
        <v>19</v>
      </c>
      <c r="E36" s="2">
        <v>11</v>
      </c>
      <c r="F36" s="2">
        <v>10</v>
      </c>
      <c r="G36" s="2">
        <v>12</v>
      </c>
      <c r="H36" s="2">
        <v>12</v>
      </c>
      <c r="I36" s="2">
        <v>11</v>
      </c>
      <c r="J36" s="2">
        <v>14</v>
      </c>
      <c r="K36" s="2">
        <v>12</v>
      </c>
      <c r="L36" s="2">
        <v>8</v>
      </c>
      <c r="M36" s="2">
        <v>9</v>
      </c>
      <c r="N36" s="2">
        <v>11</v>
      </c>
      <c r="O36" s="2"/>
    </row>
    <row r="37" spans="1:15" x14ac:dyDescent="0.35">
      <c r="A37" s="2" t="s">
        <v>88</v>
      </c>
      <c r="B37" s="2"/>
      <c r="C37" s="2"/>
      <c r="D37" s="2"/>
      <c r="E37" s="2">
        <v>1</v>
      </c>
      <c r="F37" s="2">
        <v>2</v>
      </c>
      <c r="G37" s="2">
        <v>1</v>
      </c>
      <c r="H37" s="2"/>
      <c r="I37" s="2"/>
      <c r="J37" s="2"/>
      <c r="K37" s="2">
        <v>3</v>
      </c>
      <c r="L37" s="2">
        <v>3</v>
      </c>
      <c r="M37" s="2">
        <v>1</v>
      </c>
      <c r="N37" s="2">
        <v>1</v>
      </c>
      <c r="O37" s="2"/>
    </row>
    <row r="38" spans="1:15" x14ac:dyDescent="0.35">
      <c r="A38" s="2" t="s">
        <v>55</v>
      </c>
      <c r="B38" s="2"/>
      <c r="C38" s="2">
        <v>1</v>
      </c>
      <c r="D38" s="2"/>
      <c r="E38" s="2"/>
      <c r="F38" s="2"/>
      <c r="G38" s="2"/>
      <c r="H38" s="2"/>
      <c r="I38" s="2"/>
      <c r="J38" s="2">
        <v>1</v>
      </c>
      <c r="K38" s="2"/>
      <c r="L38" s="2">
        <v>1</v>
      </c>
      <c r="M38" s="2">
        <v>2</v>
      </c>
      <c r="N38" s="2">
        <v>2</v>
      </c>
      <c r="O38" s="2"/>
    </row>
    <row r="39" spans="1:15" x14ac:dyDescent="0.35">
      <c r="A39" s="2" t="s">
        <v>161</v>
      </c>
      <c r="B39" s="2"/>
      <c r="C39" s="2"/>
      <c r="D39" s="2"/>
      <c r="E39" s="2"/>
      <c r="F39" s="2"/>
      <c r="G39" s="2"/>
      <c r="H39" s="2"/>
      <c r="I39" s="2">
        <v>2</v>
      </c>
      <c r="J39" s="2"/>
      <c r="K39" s="2"/>
      <c r="L39" s="2"/>
      <c r="M39" s="2"/>
      <c r="N39" s="2">
        <v>1</v>
      </c>
      <c r="O39" s="2"/>
    </row>
    <row r="40" spans="1:15" x14ac:dyDescent="0.35">
      <c r="A40" s="2" t="s">
        <v>136</v>
      </c>
      <c r="B40" s="2"/>
      <c r="C40" s="2"/>
      <c r="D40" s="2"/>
      <c r="E40" s="2"/>
      <c r="F40" s="2"/>
      <c r="G40" s="2">
        <v>1</v>
      </c>
      <c r="H40" s="2"/>
      <c r="I40" s="2">
        <v>1</v>
      </c>
      <c r="J40" s="2"/>
      <c r="K40" s="2"/>
      <c r="L40" s="2"/>
      <c r="M40" s="2"/>
      <c r="N40" s="2"/>
      <c r="O40" s="2"/>
    </row>
    <row r="41" spans="1:15" x14ac:dyDescent="0.35">
      <c r="A41" s="2" t="s">
        <v>3</v>
      </c>
      <c r="B41" s="2">
        <v>2</v>
      </c>
      <c r="C41" s="2"/>
      <c r="D41" s="2"/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2</v>
      </c>
      <c r="L41" s="2">
        <v>2</v>
      </c>
      <c r="M41" s="2">
        <v>3</v>
      </c>
      <c r="N41" s="2">
        <v>2</v>
      </c>
      <c r="O41" s="2"/>
    </row>
    <row r="42" spans="1:15" x14ac:dyDescent="0.35">
      <c r="A42" s="2" t="s">
        <v>72</v>
      </c>
      <c r="B42" s="2"/>
      <c r="C42" s="2"/>
      <c r="D42" s="2">
        <v>1</v>
      </c>
      <c r="E42" s="2">
        <v>1</v>
      </c>
      <c r="F42" s="2">
        <v>1</v>
      </c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35">
      <c r="A43" s="2" t="s">
        <v>79</v>
      </c>
      <c r="B43" s="2"/>
      <c r="C43" s="2"/>
      <c r="D43" s="2"/>
      <c r="E43" s="2">
        <v>1</v>
      </c>
      <c r="F43" s="2">
        <v>2</v>
      </c>
      <c r="G43" s="2">
        <v>2</v>
      </c>
      <c r="H43" s="2"/>
      <c r="I43" s="2">
        <v>2</v>
      </c>
      <c r="J43" s="2"/>
      <c r="K43" s="2"/>
      <c r="L43" s="2"/>
      <c r="M43" s="2"/>
      <c r="N43" s="2"/>
      <c r="O43" s="2"/>
    </row>
    <row r="44" spans="1:15" x14ac:dyDescent="0.35">
      <c r="A44" s="2" t="s">
        <v>121</v>
      </c>
      <c r="B44" s="2"/>
      <c r="C44" s="2"/>
      <c r="D44" s="2"/>
      <c r="E44" s="2"/>
      <c r="F44" s="2"/>
      <c r="G44" s="2">
        <v>2</v>
      </c>
      <c r="H44" s="2"/>
      <c r="I44" s="2"/>
      <c r="J44" s="2">
        <v>1</v>
      </c>
      <c r="K44" s="2"/>
      <c r="L44" s="2"/>
      <c r="M44" s="2"/>
      <c r="N44" s="2"/>
      <c r="O44" s="2"/>
    </row>
    <row r="45" spans="1:15" x14ac:dyDescent="0.35">
      <c r="A45" s="2" t="s">
        <v>85</v>
      </c>
      <c r="B45" s="2"/>
      <c r="C45" s="2"/>
      <c r="D45" s="2"/>
      <c r="E45" s="2">
        <v>1</v>
      </c>
      <c r="F45" s="2"/>
      <c r="G45" s="2"/>
      <c r="H45" s="2">
        <v>1</v>
      </c>
      <c r="I45" s="2"/>
      <c r="J45" s="2">
        <v>1</v>
      </c>
      <c r="K45" s="2"/>
      <c r="L45" s="2"/>
      <c r="M45" s="2"/>
      <c r="N45" s="2"/>
      <c r="O45" s="2"/>
    </row>
    <row r="46" spans="1:15" x14ac:dyDescent="0.35">
      <c r="A46" s="2" t="s">
        <v>261</v>
      </c>
      <c r="B46" s="2">
        <v>2</v>
      </c>
      <c r="C46" s="2">
        <v>1</v>
      </c>
      <c r="D46" s="2">
        <v>1</v>
      </c>
      <c r="E46" s="2">
        <v>1</v>
      </c>
      <c r="F46" s="2"/>
      <c r="G46" s="2"/>
      <c r="H46" s="2"/>
      <c r="I46" s="2"/>
      <c r="J46" s="2"/>
      <c r="K46" s="2">
        <v>1</v>
      </c>
      <c r="L46" s="2">
        <v>1</v>
      </c>
      <c r="M46" s="2">
        <v>1</v>
      </c>
      <c r="N46" s="2">
        <v>1</v>
      </c>
      <c r="O46" s="2"/>
    </row>
    <row r="51" spans="1:15" x14ac:dyDescent="0.35">
      <c r="A51" s="4" t="s">
        <v>2</v>
      </c>
      <c r="B51" s="3">
        <v>1930</v>
      </c>
      <c r="C51" s="3">
        <v>1950</v>
      </c>
      <c r="D51" s="3">
        <v>1954</v>
      </c>
      <c r="E51" s="3">
        <v>1966</v>
      </c>
      <c r="F51" s="3">
        <v>1970</v>
      </c>
      <c r="G51" s="3">
        <v>1974</v>
      </c>
      <c r="H51" s="3">
        <v>1986</v>
      </c>
      <c r="I51" s="3">
        <v>1990</v>
      </c>
      <c r="J51" s="3">
        <v>2002</v>
      </c>
      <c r="K51" s="3">
        <v>2010</v>
      </c>
      <c r="L51" s="3">
        <v>2014</v>
      </c>
      <c r="M51" s="3">
        <v>2018</v>
      </c>
      <c r="N51" s="3">
        <v>2022</v>
      </c>
      <c r="O51" s="3">
        <v>2026</v>
      </c>
    </row>
    <row r="52" spans="1:15" x14ac:dyDescent="0.35">
      <c r="A52" s="2" t="s">
        <v>54</v>
      </c>
      <c r="B52" s="2">
        <f>100000*B27/B2</f>
        <v>0</v>
      </c>
      <c r="C52" s="2">
        <f t="shared" ref="C52:O52" si="0">100000*C27/C2</f>
        <v>1.8923982362848437</v>
      </c>
      <c r="D52" s="2">
        <f t="shared" si="0"/>
        <v>0</v>
      </c>
      <c r="E52" s="2">
        <f t="shared" si="0"/>
        <v>1.8923982362848437</v>
      </c>
      <c r="F52" s="2">
        <f t="shared" si="0"/>
        <v>0</v>
      </c>
      <c r="G52" s="2">
        <f t="shared" si="0"/>
        <v>1.725714877387958</v>
      </c>
      <c r="H52" s="2">
        <f t="shared" si="0"/>
        <v>2.8924723407332418</v>
      </c>
      <c r="I52" s="2">
        <f t="shared" si="0"/>
        <v>2.8924723407332418</v>
      </c>
      <c r="J52" s="2">
        <f t="shared" si="0"/>
        <v>1.2817390635614401</v>
      </c>
      <c r="K52" s="2">
        <f t="shared" si="0"/>
        <v>0</v>
      </c>
      <c r="L52" s="2">
        <f t="shared" si="0"/>
        <v>0</v>
      </c>
      <c r="M52" s="2">
        <f t="shared" si="0"/>
        <v>0</v>
      </c>
      <c r="N52" s="2">
        <f t="shared" si="0"/>
        <v>1.2905224034689242</v>
      </c>
      <c r="O52" s="2">
        <f t="shared" si="0"/>
        <v>0</v>
      </c>
    </row>
    <row r="53" spans="1:15" x14ac:dyDescent="0.35">
      <c r="A53" s="2" t="s">
        <v>31</v>
      </c>
      <c r="B53" s="2">
        <f t="shared" ref="B53:O53" si="1">100000*B28/B3</f>
        <v>2.2759860709652457</v>
      </c>
      <c r="C53" s="2">
        <f t="shared" si="1"/>
        <v>0</v>
      </c>
      <c r="D53" s="2">
        <f t="shared" si="1"/>
        <v>0.38730416932938283</v>
      </c>
      <c r="E53" s="2">
        <f t="shared" si="1"/>
        <v>0</v>
      </c>
      <c r="F53" s="2">
        <f t="shared" si="1"/>
        <v>0.30713096678685725</v>
      </c>
      <c r="G53" s="2">
        <f t="shared" si="1"/>
        <v>0</v>
      </c>
      <c r="H53" s="2">
        <f t="shared" si="1"/>
        <v>0.82361468010805827</v>
      </c>
      <c r="I53" s="2">
        <f t="shared" si="1"/>
        <v>0.27453822670268607</v>
      </c>
      <c r="J53" s="2">
        <f t="shared" si="1"/>
        <v>0.4121671750061825</v>
      </c>
      <c r="K53" s="2">
        <f t="shared" si="1"/>
        <v>0.19223856036386916</v>
      </c>
      <c r="L53" s="2">
        <f t="shared" si="1"/>
        <v>0.76895424145547664</v>
      </c>
      <c r="M53" s="2">
        <f t="shared" si="1"/>
        <v>0.49264319495533371</v>
      </c>
      <c r="N53" s="2">
        <f t="shared" si="1"/>
        <v>0.65685759327377824</v>
      </c>
      <c r="O53" s="2">
        <f t="shared" si="1"/>
        <v>0</v>
      </c>
    </row>
    <row r="54" spans="1:15" x14ac:dyDescent="0.35">
      <c r="A54" s="2" t="s">
        <v>97</v>
      </c>
      <c r="B54" s="2">
        <f t="shared" ref="B54:O54" si="2">100000*B29/B4</f>
        <v>0</v>
      </c>
      <c r="C54" s="2">
        <f t="shared" si="2"/>
        <v>0</v>
      </c>
      <c r="D54" s="2">
        <f t="shared" si="2"/>
        <v>0</v>
      </c>
      <c r="E54" s="2">
        <f t="shared" si="2"/>
        <v>1.4079945933007618</v>
      </c>
      <c r="F54" s="2">
        <f t="shared" si="2"/>
        <v>0</v>
      </c>
      <c r="G54" s="2">
        <f t="shared" si="2"/>
        <v>0</v>
      </c>
      <c r="H54" s="2">
        <f t="shared" si="2"/>
        <v>0</v>
      </c>
      <c r="I54" s="2">
        <f t="shared" si="2"/>
        <v>0</v>
      </c>
      <c r="J54" s="2">
        <f t="shared" si="2"/>
        <v>0</v>
      </c>
      <c r="K54" s="2">
        <f t="shared" si="2"/>
        <v>0</v>
      </c>
      <c r="L54" s="2">
        <f t="shared" si="2"/>
        <v>0</v>
      </c>
      <c r="M54" s="2">
        <f t="shared" si="2"/>
        <v>0</v>
      </c>
      <c r="N54" s="2">
        <f t="shared" si="2"/>
        <v>0</v>
      </c>
      <c r="O54" s="2">
        <f t="shared" si="2"/>
        <v>0</v>
      </c>
    </row>
    <row r="55" spans="1:15" x14ac:dyDescent="0.35">
      <c r="A55" s="2" t="s">
        <v>23</v>
      </c>
      <c r="B55" s="2">
        <f t="shared" ref="B55:O55" si="3">100000*B30/B5</f>
        <v>1.830027084400849</v>
      </c>
      <c r="C55" s="2">
        <f t="shared" si="3"/>
        <v>0.94988411413807516</v>
      </c>
      <c r="D55" s="2">
        <f t="shared" si="3"/>
        <v>0</v>
      </c>
      <c r="E55" s="2">
        <f t="shared" si="3"/>
        <v>0.94988411413807516</v>
      </c>
      <c r="F55" s="2">
        <f t="shared" si="3"/>
        <v>0</v>
      </c>
      <c r="G55" s="2">
        <f t="shared" si="3"/>
        <v>0</v>
      </c>
      <c r="H55" s="2">
        <f t="shared" si="3"/>
        <v>0.88717762183166693</v>
      </c>
      <c r="I55" s="2">
        <f t="shared" si="3"/>
        <v>0</v>
      </c>
      <c r="J55" s="2">
        <f t="shared" si="3"/>
        <v>0.83846192544396558</v>
      </c>
      <c r="K55" s="2">
        <f t="shared" si="3"/>
        <v>1.623337094064268</v>
      </c>
      <c r="L55" s="2">
        <f t="shared" si="3"/>
        <v>1.623337094064268</v>
      </c>
      <c r="M55" s="2">
        <f t="shared" si="3"/>
        <v>2.2098308006216989</v>
      </c>
      <c r="N55" s="2">
        <f t="shared" si="3"/>
        <v>2.2098308006216989</v>
      </c>
      <c r="O55" s="2">
        <f t="shared" si="3"/>
        <v>0</v>
      </c>
    </row>
    <row r="56" spans="1:15" x14ac:dyDescent="0.35">
      <c r="A56" s="2" t="s">
        <v>32</v>
      </c>
      <c r="B56" s="2">
        <f t="shared" ref="B56:O56" si="4">100000*B31/B6</f>
        <v>2.3626698168930891</v>
      </c>
      <c r="C56" s="2">
        <f t="shared" si="4"/>
        <v>0</v>
      </c>
      <c r="D56" s="2">
        <f t="shared" si="4"/>
        <v>0</v>
      </c>
      <c r="E56" s="2">
        <f t="shared" si="4"/>
        <v>0</v>
      </c>
      <c r="F56" s="2">
        <f t="shared" si="4"/>
        <v>0</v>
      </c>
      <c r="G56" s="2">
        <f t="shared" si="4"/>
        <v>0</v>
      </c>
      <c r="H56" s="2">
        <f t="shared" si="4"/>
        <v>0</v>
      </c>
      <c r="I56" s="2">
        <f t="shared" si="4"/>
        <v>3.6312798445812224</v>
      </c>
      <c r="J56" s="2">
        <f t="shared" si="4"/>
        <v>0</v>
      </c>
      <c r="K56" s="2">
        <f t="shared" si="4"/>
        <v>1.7516816143497758</v>
      </c>
      <c r="L56" s="2">
        <f t="shared" si="4"/>
        <v>0</v>
      </c>
      <c r="M56" s="2">
        <f t="shared" si="4"/>
        <v>0</v>
      </c>
      <c r="N56" s="2">
        <f t="shared" si="4"/>
        <v>0</v>
      </c>
      <c r="O56" s="2">
        <f t="shared" si="4"/>
        <v>0</v>
      </c>
    </row>
    <row r="57" spans="1:15" x14ac:dyDescent="0.35">
      <c r="A57" s="2" t="s">
        <v>260</v>
      </c>
      <c r="B57" s="2">
        <f t="shared" ref="B57:O57" si="5">100000*B32/B7</f>
        <v>0</v>
      </c>
      <c r="C57" s="2">
        <f t="shared" si="5"/>
        <v>0</v>
      </c>
      <c r="D57" s="2">
        <f t="shared" si="5"/>
        <v>0</v>
      </c>
      <c r="E57" s="2">
        <f t="shared" si="5"/>
        <v>0</v>
      </c>
      <c r="F57" s="2">
        <f t="shared" si="5"/>
        <v>0</v>
      </c>
      <c r="G57" s="2">
        <f t="shared" si="5"/>
        <v>0</v>
      </c>
      <c r="H57" s="2">
        <f t="shared" si="5"/>
        <v>0</v>
      </c>
      <c r="I57" s="2">
        <f t="shared" si="5"/>
        <v>0</v>
      </c>
      <c r="J57" s="2">
        <f t="shared" si="5"/>
        <v>0</v>
      </c>
      <c r="K57" s="2">
        <f t="shared" si="5"/>
        <v>0</v>
      </c>
      <c r="L57" s="2">
        <f t="shared" si="5"/>
        <v>0</v>
      </c>
      <c r="M57" s="2">
        <f t="shared" si="5"/>
        <v>0</v>
      </c>
      <c r="N57" s="2">
        <f t="shared" si="5"/>
        <v>0</v>
      </c>
      <c r="O57" s="2">
        <f t="shared" si="5"/>
        <v>0</v>
      </c>
    </row>
    <row r="58" spans="1:15" x14ac:dyDescent="0.35">
      <c r="A58" s="2" t="s">
        <v>103</v>
      </c>
      <c r="B58" s="2">
        <f t="shared" ref="B58:O58" si="6">100000*B33/B8</f>
        <v>0</v>
      </c>
      <c r="C58" s="2">
        <f t="shared" si="6"/>
        <v>0</v>
      </c>
      <c r="D58" s="2">
        <f t="shared" si="6"/>
        <v>0</v>
      </c>
      <c r="E58" s="2">
        <f t="shared" si="6"/>
        <v>0</v>
      </c>
      <c r="F58" s="2">
        <f t="shared" si="6"/>
        <v>1.4896691444830104</v>
      </c>
      <c r="G58" s="2">
        <f t="shared" si="6"/>
        <v>0</v>
      </c>
      <c r="H58" s="2">
        <f t="shared" si="6"/>
        <v>0</v>
      </c>
      <c r="I58" s="2">
        <f t="shared" si="6"/>
        <v>0</v>
      </c>
      <c r="J58" s="2">
        <f t="shared" si="6"/>
        <v>0</v>
      </c>
      <c r="K58" s="2">
        <f t="shared" si="6"/>
        <v>0</v>
      </c>
      <c r="L58" s="2">
        <f t="shared" si="6"/>
        <v>0</v>
      </c>
      <c r="M58" s="2">
        <f t="shared" si="6"/>
        <v>0</v>
      </c>
      <c r="N58" s="2">
        <f t="shared" si="6"/>
        <v>0</v>
      </c>
      <c r="O58" s="2">
        <f t="shared" si="6"/>
        <v>0</v>
      </c>
    </row>
    <row r="59" spans="1:15" x14ac:dyDescent="0.35">
      <c r="A59" s="2" t="s">
        <v>193</v>
      </c>
      <c r="B59" s="2">
        <f t="shared" ref="B59:O59" si="7">100000*B34/B9</f>
        <v>0</v>
      </c>
      <c r="C59" s="2">
        <f t="shared" si="7"/>
        <v>0</v>
      </c>
      <c r="D59" s="2">
        <f t="shared" si="7"/>
        <v>0</v>
      </c>
      <c r="E59" s="2">
        <f t="shared" si="7"/>
        <v>0</v>
      </c>
      <c r="F59" s="2">
        <f t="shared" si="7"/>
        <v>0</v>
      </c>
      <c r="G59" s="2">
        <f t="shared" si="7"/>
        <v>0</v>
      </c>
      <c r="H59" s="2">
        <f t="shared" si="7"/>
        <v>0</v>
      </c>
      <c r="I59" s="2">
        <f t="shared" si="7"/>
        <v>0</v>
      </c>
      <c r="J59" s="2">
        <f t="shared" si="7"/>
        <v>1.6413623307345095</v>
      </c>
      <c r="K59" s="2">
        <f t="shared" si="7"/>
        <v>1.7002465357476835</v>
      </c>
      <c r="L59" s="2">
        <f t="shared" si="7"/>
        <v>0</v>
      </c>
      <c r="M59" s="2">
        <f t="shared" si="7"/>
        <v>0</v>
      </c>
      <c r="N59" s="2">
        <f t="shared" si="7"/>
        <v>0</v>
      </c>
      <c r="O59" s="2">
        <f t="shared" si="7"/>
        <v>0</v>
      </c>
    </row>
    <row r="60" spans="1:15" x14ac:dyDescent="0.35">
      <c r="A60" s="2" t="s">
        <v>75</v>
      </c>
      <c r="B60" s="2">
        <f t="shared" ref="B60:O60" si="8">100000*B35/B10</f>
        <v>0</v>
      </c>
      <c r="C60" s="2">
        <f t="shared" si="8"/>
        <v>0</v>
      </c>
      <c r="D60" s="2">
        <f t="shared" si="8"/>
        <v>0</v>
      </c>
      <c r="E60" s="2">
        <f t="shared" si="8"/>
        <v>3.26482639285656</v>
      </c>
      <c r="F60" s="2">
        <f t="shared" si="8"/>
        <v>2.6242930810512917</v>
      </c>
      <c r="G60" s="2">
        <f t="shared" si="8"/>
        <v>1.3121465405256458</v>
      </c>
      <c r="H60" s="2">
        <f t="shared" si="8"/>
        <v>0</v>
      </c>
      <c r="I60" s="2">
        <f t="shared" si="8"/>
        <v>0</v>
      </c>
      <c r="J60" s="2">
        <f t="shared" si="8"/>
        <v>0</v>
      </c>
      <c r="K60" s="2">
        <f t="shared" si="8"/>
        <v>0</v>
      </c>
      <c r="L60" s="2">
        <f t="shared" si="8"/>
        <v>0</v>
      </c>
      <c r="M60" s="2">
        <f t="shared" si="8"/>
        <v>0.93916996158794852</v>
      </c>
      <c r="N60" s="2">
        <f t="shared" si="8"/>
        <v>0</v>
      </c>
      <c r="O60" s="2">
        <f t="shared" si="8"/>
        <v>0</v>
      </c>
    </row>
    <row r="61" spans="1:15" x14ac:dyDescent="0.35">
      <c r="A61" s="2" t="s">
        <v>4</v>
      </c>
      <c r="B61" s="2">
        <f t="shared" ref="B61:O61" si="9">100000*B36/B11</f>
        <v>4.5273598054528819</v>
      </c>
      <c r="C61" s="2">
        <f t="shared" si="9"/>
        <v>1.4965616496100209</v>
      </c>
      <c r="D61" s="2">
        <f t="shared" si="9"/>
        <v>1.5797039634772443</v>
      </c>
      <c r="E61" s="2">
        <f t="shared" si="9"/>
        <v>0.91456545253945731</v>
      </c>
      <c r="F61" s="2">
        <f t="shared" si="9"/>
        <v>0.80825911494010394</v>
      </c>
      <c r="G61" s="2">
        <f t="shared" si="9"/>
        <v>0.96991093792812477</v>
      </c>
      <c r="H61" s="2">
        <f t="shared" si="9"/>
        <v>0.91465087775995901</v>
      </c>
      <c r="I61" s="2">
        <f t="shared" si="9"/>
        <v>0.83842997127996244</v>
      </c>
      <c r="J61" s="2">
        <f t="shared" si="9"/>
        <v>1.0558324182785708</v>
      </c>
      <c r="K61" s="2">
        <f t="shared" si="9"/>
        <v>0.90970564957531908</v>
      </c>
      <c r="L61" s="2">
        <f t="shared" si="9"/>
        <v>0.60647043305021275</v>
      </c>
      <c r="M61" s="2">
        <f t="shared" si="9"/>
        <v>0.69086166569818097</v>
      </c>
      <c r="N61" s="2">
        <f t="shared" si="9"/>
        <v>0.84438648029777674</v>
      </c>
      <c r="O61" s="2">
        <f t="shared" si="9"/>
        <v>0</v>
      </c>
    </row>
    <row r="62" spans="1:15" x14ac:dyDescent="0.35">
      <c r="A62" s="2" t="s">
        <v>88</v>
      </c>
      <c r="B62" s="2">
        <f t="shared" ref="B62:O62" si="10">100000*B37/B12</f>
        <v>0</v>
      </c>
      <c r="C62" s="2">
        <f t="shared" si="10"/>
        <v>0</v>
      </c>
      <c r="D62" s="2">
        <f t="shared" si="10"/>
        <v>0</v>
      </c>
      <c r="E62" s="2">
        <f t="shared" si="10"/>
        <v>1.135989276261232</v>
      </c>
      <c r="F62" s="2">
        <f t="shared" si="10"/>
        <v>2.0302919559832704</v>
      </c>
      <c r="G62" s="2">
        <f t="shared" si="10"/>
        <v>1.0151459779916352</v>
      </c>
      <c r="H62" s="2">
        <f t="shared" si="10"/>
        <v>0</v>
      </c>
      <c r="I62" s="2">
        <f t="shared" si="10"/>
        <v>0</v>
      </c>
      <c r="J62" s="2">
        <f t="shared" si="10"/>
        <v>0</v>
      </c>
      <c r="K62" s="2">
        <f t="shared" si="10"/>
        <v>2.6519571443725471</v>
      </c>
      <c r="L62" s="2">
        <f t="shared" si="10"/>
        <v>2.6519571443725471</v>
      </c>
      <c r="M62" s="2">
        <f t="shared" si="10"/>
        <v>0.82076199543656325</v>
      </c>
      <c r="N62" s="2">
        <f t="shared" si="10"/>
        <v>0.82076199543656325</v>
      </c>
      <c r="O62" s="2">
        <f t="shared" si="10"/>
        <v>0</v>
      </c>
    </row>
    <row r="63" spans="1:15" x14ac:dyDescent="0.35">
      <c r="A63" s="2" t="s">
        <v>55</v>
      </c>
      <c r="B63" s="2">
        <f t="shared" ref="B63:O63" si="11">100000*B38/B13</f>
        <v>0</v>
      </c>
      <c r="C63" s="2">
        <f t="shared" si="11"/>
        <v>2.133970679242867</v>
      </c>
      <c r="D63" s="2">
        <f t="shared" si="11"/>
        <v>0</v>
      </c>
      <c r="E63" s="2">
        <f t="shared" si="11"/>
        <v>0</v>
      </c>
      <c r="F63" s="2">
        <f t="shared" si="11"/>
        <v>0</v>
      </c>
      <c r="G63" s="2">
        <f t="shared" si="11"/>
        <v>0</v>
      </c>
      <c r="H63" s="2">
        <f t="shared" si="11"/>
        <v>0</v>
      </c>
      <c r="I63" s="2">
        <f t="shared" si="11"/>
        <v>0</v>
      </c>
      <c r="J63" s="2">
        <f t="shared" si="11"/>
        <v>1.8522291577914018</v>
      </c>
      <c r="K63" s="2">
        <f t="shared" si="11"/>
        <v>0</v>
      </c>
      <c r="L63" s="2">
        <f t="shared" si="11"/>
        <v>1.8259837487446362</v>
      </c>
      <c r="M63" s="2">
        <f t="shared" si="11"/>
        <v>3.488088178869162</v>
      </c>
      <c r="N63" s="2">
        <f t="shared" si="11"/>
        <v>3.488088178869162</v>
      </c>
      <c r="O63" s="2">
        <f t="shared" si="11"/>
        <v>0</v>
      </c>
    </row>
    <row r="64" spans="1:15" x14ac:dyDescent="0.35">
      <c r="A64" s="2" t="s">
        <v>161</v>
      </c>
      <c r="B64" s="2">
        <f t="shared" ref="B64:O64" si="12">100000*B39/B14</f>
        <v>0</v>
      </c>
      <c r="C64" s="2">
        <f t="shared" si="12"/>
        <v>0</v>
      </c>
      <c r="D64" s="2">
        <f t="shared" si="12"/>
        <v>0</v>
      </c>
      <c r="E64" s="2">
        <f t="shared" si="12"/>
        <v>0</v>
      </c>
      <c r="F64" s="2">
        <f t="shared" si="12"/>
        <v>0</v>
      </c>
      <c r="G64" s="2">
        <f t="shared" si="12"/>
        <v>0</v>
      </c>
      <c r="H64" s="2">
        <f t="shared" si="12"/>
        <v>0</v>
      </c>
      <c r="I64" s="2">
        <f t="shared" si="12"/>
        <v>2.2352612461581449</v>
      </c>
      <c r="J64" s="2">
        <f t="shared" si="12"/>
        <v>0</v>
      </c>
      <c r="K64" s="2">
        <f t="shared" si="12"/>
        <v>0</v>
      </c>
      <c r="L64" s="2">
        <f t="shared" si="12"/>
        <v>0</v>
      </c>
      <c r="M64" s="2">
        <f t="shared" si="12"/>
        <v>0</v>
      </c>
      <c r="N64" s="2">
        <f t="shared" si="12"/>
        <v>0.9149214539931747</v>
      </c>
      <c r="O64" s="2">
        <f t="shared" si="12"/>
        <v>0</v>
      </c>
    </row>
    <row r="65" spans="1:15" x14ac:dyDescent="0.35">
      <c r="A65" s="2" t="s">
        <v>136</v>
      </c>
      <c r="B65" s="2">
        <f t="shared" ref="B65:O65" si="13">100000*B40/B15</f>
        <v>0</v>
      </c>
      <c r="C65" s="2">
        <f t="shared" si="13"/>
        <v>0</v>
      </c>
      <c r="D65" s="2">
        <f t="shared" si="13"/>
        <v>0</v>
      </c>
      <c r="E65" s="2">
        <f t="shared" si="13"/>
        <v>0</v>
      </c>
      <c r="F65" s="2">
        <f t="shared" si="13"/>
        <v>0</v>
      </c>
      <c r="G65" s="2">
        <f t="shared" si="13"/>
        <v>1.6595306847223605</v>
      </c>
      <c r="H65" s="2">
        <f t="shared" si="13"/>
        <v>0</v>
      </c>
      <c r="I65" s="2">
        <f t="shared" si="13"/>
        <v>1.5014789567724209</v>
      </c>
      <c r="J65" s="2">
        <f t="shared" si="13"/>
        <v>0</v>
      </c>
      <c r="K65" s="2">
        <f t="shared" si="13"/>
        <v>0</v>
      </c>
      <c r="L65" s="2">
        <f t="shared" si="13"/>
        <v>0</v>
      </c>
      <c r="M65" s="2">
        <f t="shared" si="13"/>
        <v>0</v>
      </c>
      <c r="N65" s="2">
        <f t="shared" si="13"/>
        <v>0</v>
      </c>
      <c r="O65" s="2">
        <f t="shared" si="13"/>
        <v>0</v>
      </c>
    </row>
    <row r="66" spans="1:15" x14ac:dyDescent="0.35">
      <c r="A66" s="2" t="s">
        <v>3</v>
      </c>
      <c r="B66" s="2">
        <f t="shared" ref="B66:O66" si="14">100000*B41/B16</f>
        <v>4.3234829979031106</v>
      </c>
      <c r="C66" s="2">
        <f t="shared" si="14"/>
        <v>0</v>
      </c>
      <c r="D66" s="2">
        <f t="shared" si="14"/>
        <v>0</v>
      </c>
      <c r="E66" s="2">
        <f t="shared" si="14"/>
        <v>1.0847987155983208</v>
      </c>
      <c r="F66" s="2">
        <f t="shared" si="14"/>
        <v>0.97017676620680293</v>
      </c>
      <c r="G66" s="2">
        <f t="shared" si="14"/>
        <v>0.97017676620680293</v>
      </c>
      <c r="H66" s="2">
        <f t="shared" si="14"/>
        <v>0.92176942859513122</v>
      </c>
      <c r="I66" s="2">
        <f t="shared" si="14"/>
        <v>0.92176942859513122</v>
      </c>
      <c r="J66" s="2">
        <f t="shared" si="14"/>
        <v>0.81221572449642621</v>
      </c>
      <c r="K66" s="2">
        <f t="shared" si="14"/>
        <v>1.601563125610596</v>
      </c>
      <c r="L66" s="2">
        <f t="shared" si="14"/>
        <v>1.601563125610596</v>
      </c>
      <c r="M66" s="2">
        <f t="shared" si="14"/>
        <v>2.2027240353904327</v>
      </c>
      <c r="N66" s="2">
        <f t="shared" si="14"/>
        <v>1.4684826902602885</v>
      </c>
      <c r="O66" s="2">
        <f t="shared" si="14"/>
        <v>0</v>
      </c>
    </row>
    <row r="67" spans="1:15" x14ac:dyDescent="0.35">
      <c r="A67" s="2" t="s">
        <v>72</v>
      </c>
      <c r="B67" s="2">
        <f t="shared" ref="B67:O67" si="15">100000*B42/B17</f>
        <v>0</v>
      </c>
      <c r="C67" s="2">
        <f t="shared" si="15"/>
        <v>0</v>
      </c>
      <c r="D67" s="2">
        <f t="shared" si="15"/>
        <v>1.2595568878868415</v>
      </c>
      <c r="E67" s="2">
        <f t="shared" si="15"/>
        <v>1.2595568878868415</v>
      </c>
      <c r="F67" s="2">
        <f t="shared" si="15"/>
        <v>1.1363636363636365</v>
      </c>
      <c r="G67" s="2">
        <f t="shared" si="15"/>
        <v>0</v>
      </c>
      <c r="H67" s="2">
        <f t="shared" si="15"/>
        <v>0</v>
      </c>
      <c r="I67" s="2">
        <f t="shared" si="15"/>
        <v>0</v>
      </c>
      <c r="J67" s="2">
        <f t="shared" si="15"/>
        <v>0</v>
      </c>
      <c r="K67" s="2">
        <f t="shared" si="15"/>
        <v>0</v>
      </c>
      <c r="L67" s="2">
        <f t="shared" si="15"/>
        <v>0</v>
      </c>
      <c r="M67" s="2">
        <f t="shared" si="15"/>
        <v>0</v>
      </c>
      <c r="N67" s="2">
        <f t="shared" si="15"/>
        <v>0</v>
      </c>
      <c r="O67" s="2">
        <f t="shared" si="15"/>
        <v>0</v>
      </c>
    </row>
    <row r="68" spans="1:15" x14ac:dyDescent="0.35">
      <c r="A68" s="2" t="s">
        <v>79</v>
      </c>
      <c r="B68" s="2">
        <f t="shared" ref="B68:O68" si="16">100000*B43/B18</f>
        <v>0</v>
      </c>
      <c r="C68" s="2">
        <f t="shared" si="16"/>
        <v>0</v>
      </c>
      <c r="D68" s="2">
        <f t="shared" si="16"/>
        <v>0</v>
      </c>
      <c r="E68" s="2">
        <f t="shared" si="16"/>
        <v>1.2841091492776886</v>
      </c>
      <c r="F68" s="2">
        <f t="shared" si="16"/>
        <v>2.4809586424194308</v>
      </c>
      <c r="G68" s="2">
        <f t="shared" si="16"/>
        <v>2.4809586424194308</v>
      </c>
      <c r="H68" s="2">
        <f t="shared" si="16"/>
        <v>0</v>
      </c>
      <c r="I68" s="2">
        <f t="shared" si="16"/>
        <v>2.5176550560807662</v>
      </c>
      <c r="J68" s="2">
        <f t="shared" si="16"/>
        <v>0</v>
      </c>
      <c r="K68" s="2">
        <f t="shared" si="16"/>
        <v>0</v>
      </c>
      <c r="L68" s="2">
        <f t="shared" si="16"/>
        <v>0</v>
      </c>
      <c r="M68" s="2">
        <f t="shared" si="16"/>
        <v>0</v>
      </c>
      <c r="N68" s="2">
        <f t="shared" si="16"/>
        <v>0</v>
      </c>
      <c r="O68" s="2">
        <f t="shared" si="16"/>
        <v>0</v>
      </c>
    </row>
    <row r="69" spans="1:15" x14ac:dyDescent="0.35">
      <c r="A69" s="2" t="s">
        <v>121</v>
      </c>
      <c r="B69" s="2">
        <f t="shared" ref="B69:O69" si="17">100000*B44/B19</f>
        <v>0</v>
      </c>
      <c r="C69" s="2">
        <f t="shared" si="17"/>
        <v>0</v>
      </c>
      <c r="D69" s="2">
        <f t="shared" si="17"/>
        <v>0</v>
      </c>
      <c r="E69" s="2">
        <f t="shared" si="17"/>
        <v>0</v>
      </c>
      <c r="F69" s="2">
        <f t="shared" si="17"/>
        <v>0</v>
      </c>
      <c r="G69" s="2">
        <f t="shared" si="17"/>
        <v>2.3658839533920859</v>
      </c>
      <c r="H69" s="2">
        <f t="shared" si="17"/>
        <v>0</v>
      </c>
      <c r="I69" s="2">
        <f t="shared" si="17"/>
        <v>0</v>
      </c>
      <c r="J69" s="2">
        <f t="shared" si="17"/>
        <v>1.1051066980516968</v>
      </c>
      <c r="K69" s="2">
        <f t="shared" si="17"/>
        <v>0</v>
      </c>
      <c r="L69" s="2">
        <f t="shared" si="17"/>
        <v>0</v>
      </c>
      <c r="M69" s="2">
        <f t="shared" si="17"/>
        <v>0</v>
      </c>
      <c r="N69" s="2">
        <f t="shared" si="17"/>
        <v>0</v>
      </c>
      <c r="O69" s="2">
        <f t="shared" si="17"/>
        <v>0</v>
      </c>
    </row>
    <row r="70" spans="1:15" x14ac:dyDescent="0.35">
      <c r="A70" s="2" t="s">
        <v>85</v>
      </c>
      <c r="B70" s="2">
        <f t="shared" ref="B70:O70" si="18">100000*B45/B20</f>
        <v>0</v>
      </c>
      <c r="C70" s="2">
        <f t="shared" si="18"/>
        <v>0</v>
      </c>
      <c r="D70" s="2">
        <f t="shared" si="18"/>
        <v>0</v>
      </c>
      <c r="E70" s="2">
        <f t="shared" si="18"/>
        <v>2.3031391787005688</v>
      </c>
      <c r="F70" s="2">
        <f t="shared" si="18"/>
        <v>0</v>
      </c>
      <c r="G70" s="2">
        <f t="shared" si="18"/>
        <v>0</v>
      </c>
      <c r="H70" s="2">
        <f t="shared" si="18"/>
        <v>2.1336064349570076</v>
      </c>
      <c r="I70" s="2">
        <f t="shared" si="18"/>
        <v>0</v>
      </c>
      <c r="J70" s="2">
        <f t="shared" si="18"/>
        <v>2.027657244819336</v>
      </c>
      <c r="K70" s="2">
        <f t="shared" si="18"/>
        <v>0</v>
      </c>
      <c r="L70" s="2">
        <f t="shared" si="18"/>
        <v>0</v>
      </c>
      <c r="M70" s="2">
        <f t="shared" si="18"/>
        <v>0</v>
      </c>
      <c r="N70" s="2">
        <f t="shared" si="18"/>
        <v>0</v>
      </c>
      <c r="O70" s="2">
        <f t="shared" si="18"/>
        <v>0</v>
      </c>
    </row>
    <row r="71" spans="1:15" x14ac:dyDescent="0.35">
      <c r="A71" s="2" t="s">
        <v>261</v>
      </c>
      <c r="B71" s="2">
        <f>B46/SUM(B27:B45)</f>
        <v>0.1</v>
      </c>
      <c r="C71" s="2">
        <f t="shared" ref="C71:O71" si="19">C46/SUM(C27:C45)</f>
        <v>4.7619047619047616E-2</v>
      </c>
      <c r="D71" s="2">
        <f t="shared" si="19"/>
        <v>4.7619047619047616E-2</v>
      </c>
      <c r="E71" s="2">
        <f t="shared" si="19"/>
        <v>4.7619047619047616E-2</v>
      </c>
      <c r="F71" s="2">
        <f t="shared" si="19"/>
        <v>0</v>
      </c>
      <c r="G71" s="2">
        <f t="shared" si="19"/>
        <v>0</v>
      </c>
      <c r="H71" s="2">
        <f t="shared" si="19"/>
        <v>0</v>
      </c>
      <c r="I71" s="2">
        <f t="shared" si="19"/>
        <v>0</v>
      </c>
      <c r="J71" s="2">
        <f t="shared" si="19"/>
        <v>0</v>
      </c>
      <c r="K71" s="2">
        <f t="shared" si="19"/>
        <v>4.5454545454545456E-2</v>
      </c>
      <c r="L71" s="2">
        <f t="shared" si="19"/>
        <v>0.05</v>
      </c>
      <c r="M71" s="2">
        <f t="shared" si="19"/>
        <v>4.3478260869565216E-2</v>
      </c>
      <c r="N71" s="2">
        <f t="shared" si="19"/>
        <v>0.04</v>
      </c>
      <c r="O71" s="2"/>
    </row>
    <row r="72" spans="1:15" x14ac:dyDescent="0.35">
      <c r="B72" s="38">
        <f>SUM(B27:B46)</f>
        <v>22</v>
      </c>
      <c r="C72" s="38">
        <f t="shared" ref="C72:N72" si="20">SUM(C27:C46)</f>
        <v>22</v>
      </c>
      <c r="D72" s="38">
        <f t="shared" si="20"/>
        <v>22</v>
      </c>
      <c r="E72" s="38">
        <f t="shared" si="20"/>
        <v>22</v>
      </c>
      <c r="F72" s="38">
        <f t="shared" si="20"/>
        <v>20</v>
      </c>
      <c r="G72" s="38">
        <f t="shared" si="20"/>
        <v>21</v>
      </c>
      <c r="H72" s="38">
        <f t="shared" si="20"/>
        <v>20</v>
      </c>
      <c r="I72" s="38">
        <f t="shared" si="20"/>
        <v>22</v>
      </c>
      <c r="J72" s="38">
        <f t="shared" si="20"/>
        <v>23</v>
      </c>
      <c r="K72" s="38">
        <f t="shared" si="20"/>
        <v>23</v>
      </c>
      <c r="L72" s="38">
        <f t="shared" si="20"/>
        <v>21</v>
      </c>
      <c r="M72" s="38">
        <f t="shared" si="20"/>
        <v>24</v>
      </c>
      <c r="N72" s="38">
        <f t="shared" si="20"/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B647-5CD6-43B6-8787-FCDF2E19A49F}">
  <dimension ref="A1:B16"/>
  <sheetViews>
    <sheetView workbookViewId="0"/>
  </sheetViews>
  <sheetFormatPr baseColWidth="10" defaultRowHeight="14.5" x14ac:dyDescent="0.35"/>
  <sheetData>
    <row r="1" spans="1:2" x14ac:dyDescent="0.35">
      <c r="A1" t="s">
        <v>295</v>
      </c>
      <c r="B1" t="s">
        <v>297</v>
      </c>
    </row>
    <row r="2" spans="1:2" x14ac:dyDescent="0.35">
      <c r="A2">
        <v>1930</v>
      </c>
      <c r="B2">
        <v>0.1</v>
      </c>
    </row>
    <row r="3" spans="1:2" x14ac:dyDescent="0.35">
      <c r="A3">
        <v>1950</v>
      </c>
      <c r="B3">
        <v>4.7619047619047616E-2</v>
      </c>
    </row>
    <row r="4" spans="1:2" x14ac:dyDescent="0.35">
      <c r="A4">
        <v>1954</v>
      </c>
      <c r="B4">
        <v>4.7619047619047616E-2</v>
      </c>
    </row>
    <row r="5" spans="1:2" x14ac:dyDescent="0.35">
      <c r="A5">
        <v>1966</v>
      </c>
      <c r="B5">
        <v>4.7619047619047616E-2</v>
      </c>
    </row>
    <row r="6" spans="1:2" x14ac:dyDescent="0.35">
      <c r="A6">
        <v>1970</v>
      </c>
      <c r="B6">
        <v>0</v>
      </c>
    </row>
    <row r="7" spans="1:2" x14ac:dyDescent="0.35">
      <c r="A7">
        <v>1974</v>
      </c>
      <c r="B7">
        <v>0</v>
      </c>
    </row>
    <row r="8" spans="1:2" x14ac:dyDescent="0.35">
      <c r="A8">
        <v>1986</v>
      </c>
      <c r="B8">
        <v>0</v>
      </c>
    </row>
    <row r="9" spans="1:2" x14ac:dyDescent="0.35">
      <c r="A9">
        <v>1990</v>
      </c>
      <c r="B9">
        <v>0</v>
      </c>
    </row>
    <row r="10" spans="1:2" x14ac:dyDescent="0.35">
      <c r="A10">
        <v>2002</v>
      </c>
      <c r="B10">
        <v>0</v>
      </c>
    </row>
    <row r="11" spans="1:2" x14ac:dyDescent="0.35">
      <c r="A11">
        <v>2010</v>
      </c>
      <c r="B11">
        <v>4.5454545454545456E-2</v>
      </c>
    </row>
    <row r="12" spans="1:2" x14ac:dyDescent="0.35">
      <c r="A12">
        <v>2014</v>
      </c>
      <c r="B12">
        <v>0.05</v>
      </c>
    </row>
    <row r="13" spans="1:2" x14ac:dyDescent="0.35">
      <c r="A13">
        <v>2018</v>
      </c>
      <c r="B13">
        <v>4.3478260869565216E-2</v>
      </c>
    </row>
    <row r="14" spans="1:2" x14ac:dyDescent="0.35">
      <c r="A14">
        <v>2022</v>
      </c>
      <c r="B14">
        <v>0.04</v>
      </c>
    </row>
    <row r="15" spans="1:2" x14ac:dyDescent="0.35">
      <c r="A15">
        <v>2026</v>
      </c>
    </row>
    <row r="16" spans="1:2" x14ac:dyDescent="0.35">
      <c r="A16">
        <v>2030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5984-29BA-489C-82D0-B36930DE5C9C}">
  <dimension ref="A1:C267"/>
  <sheetViews>
    <sheetView workbookViewId="0">
      <selection activeCell="A2" sqref="A2:A20"/>
    </sheetView>
  </sheetViews>
  <sheetFormatPr baseColWidth="10" defaultRowHeight="14.5" x14ac:dyDescent="0.35"/>
  <sheetData>
    <row r="1" spans="1:3" s="60" customFormat="1" x14ac:dyDescent="0.35">
      <c r="A1" s="60" t="s">
        <v>293</v>
      </c>
      <c r="B1" s="60" t="s">
        <v>294</v>
      </c>
      <c r="C1" s="60" t="s">
        <v>295</v>
      </c>
    </row>
    <row r="2" spans="1:3" x14ac:dyDescent="0.35">
      <c r="A2" t="s">
        <v>54</v>
      </c>
      <c r="B2">
        <v>0</v>
      </c>
      <c r="C2">
        <v>1930</v>
      </c>
    </row>
    <row r="3" spans="1:3" x14ac:dyDescent="0.35">
      <c r="A3" t="s">
        <v>31</v>
      </c>
      <c r="B3">
        <v>2.2759860709652457</v>
      </c>
      <c r="C3" s="60">
        <v>1930</v>
      </c>
    </row>
    <row r="4" spans="1:3" x14ac:dyDescent="0.35">
      <c r="A4" t="s">
        <v>97</v>
      </c>
      <c r="B4">
        <v>0</v>
      </c>
      <c r="C4" s="60">
        <v>1930</v>
      </c>
    </row>
    <row r="5" spans="1:3" x14ac:dyDescent="0.35">
      <c r="A5" t="s">
        <v>23</v>
      </c>
      <c r="B5">
        <v>1.830027084400849</v>
      </c>
      <c r="C5" s="60">
        <v>1930</v>
      </c>
    </row>
    <row r="6" spans="1:3" x14ac:dyDescent="0.35">
      <c r="A6" t="s">
        <v>32</v>
      </c>
      <c r="B6">
        <v>2.3626698168930891</v>
      </c>
      <c r="C6" s="60">
        <v>1930</v>
      </c>
    </row>
    <row r="7" spans="1:3" x14ac:dyDescent="0.35">
      <c r="A7" t="s">
        <v>260</v>
      </c>
      <c r="B7">
        <v>0</v>
      </c>
      <c r="C7" s="60">
        <v>1930</v>
      </c>
    </row>
    <row r="8" spans="1:3" x14ac:dyDescent="0.35">
      <c r="A8" t="s">
        <v>103</v>
      </c>
      <c r="B8">
        <v>0</v>
      </c>
      <c r="C8" s="60">
        <v>1930</v>
      </c>
    </row>
    <row r="9" spans="1:3" x14ac:dyDescent="0.35">
      <c r="A9" t="s">
        <v>193</v>
      </c>
      <c r="B9">
        <v>0</v>
      </c>
      <c r="C9" s="60">
        <v>1930</v>
      </c>
    </row>
    <row r="10" spans="1:3" x14ac:dyDescent="0.35">
      <c r="A10" t="s">
        <v>75</v>
      </c>
      <c r="B10">
        <v>0</v>
      </c>
      <c r="C10" s="60">
        <v>1930</v>
      </c>
    </row>
    <row r="11" spans="1:3" x14ac:dyDescent="0.35">
      <c r="A11" t="s">
        <v>4</v>
      </c>
      <c r="B11">
        <v>4.5273598054528819</v>
      </c>
      <c r="C11" s="60">
        <v>1930</v>
      </c>
    </row>
    <row r="12" spans="1:3" x14ac:dyDescent="0.35">
      <c r="A12" t="s">
        <v>88</v>
      </c>
      <c r="B12">
        <v>0</v>
      </c>
      <c r="C12" s="60">
        <v>1930</v>
      </c>
    </row>
    <row r="13" spans="1:3" x14ac:dyDescent="0.35">
      <c r="A13" t="s">
        <v>55</v>
      </c>
      <c r="B13">
        <v>0</v>
      </c>
      <c r="C13" s="60">
        <v>1930</v>
      </c>
    </row>
    <row r="14" spans="1:3" x14ac:dyDescent="0.35">
      <c r="A14" t="s">
        <v>161</v>
      </c>
      <c r="B14">
        <v>0</v>
      </c>
      <c r="C14" s="60">
        <v>1930</v>
      </c>
    </row>
    <row r="15" spans="1:3" x14ac:dyDescent="0.35">
      <c r="A15" t="s">
        <v>136</v>
      </c>
      <c r="B15">
        <v>0</v>
      </c>
      <c r="C15" s="60">
        <v>1930</v>
      </c>
    </row>
    <row r="16" spans="1:3" x14ac:dyDescent="0.35">
      <c r="A16" t="s">
        <v>3</v>
      </c>
      <c r="B16">
        <v>4.3234829979031106</v>
      </c>
      <c r="C16" s="60">
        <v>1930</v>
      </c>
    </row>
    <row r="17" spans="1:3" x14ac:dyDescent="0.35">
      <c r="A17" t="s">
        <v>72</v>
      </c>
      <c r="B17">
        <v>0</v>
      </c>
      <c r="C17" s="60">
        <v>1930</v>
      </c>
    </row>
    <row r="18" spans="1:3" x14ac:dyDescent="0.35">
      <c r="A18" t="s">
        <v>79</v>
      </c>
      <c r="B18">
        <v>0</v>
      </c>
      <c r="C18" s="60">
        <v>1930</v>
      </c>
    </row>
    <row r="19" spans="1:3" x14ac:dyDescent="0.35">
      <c r="A19" t="s">
        <v>121</v>
      </c>
      <c r="B19">
        <v>0</v>
      </c>
      <c r="C19" s="60">
        <v>1930</v>
      </c>
    </row>
    <row r="20" spans="1:3" x14ac:dyDescent="0.35">
      <c r="A20" t="s">
        <v>85</v>
      </c>
      <c r="B20">
        <v>0</v>
      </c>
      <c r="C20" s="60">
        <v>1930</v>
      </c>
    </row>
    <row r="21" spans="1:3" x14ac:dyDescent="0.35">
      <c r="A21" s="60" t="s">
        <v>54</v>
      </c>
      <c r="B21">
        <v>1.8923982362848437</v>
      </c>
      <c r="C21">
        <v>1950</v>
      </c>
    </row>
    <row r="22" spans="1:3" x14ac:dyDescent="0.35">
      <c r="A22" s="60" t="s">
        <v>31</v>
      </c>
      <c r="B22">
        <v>0</v>
      </c>
      <c r="C22" s="60">
        <v>1950</v>
      </c>
    </row>
    <row r="23" spans="1:3" x14ac:dyDescent="0.35">
      <c r="A23" s="60" t="s">
        <v>97</v>
      </c>
      <c r="B23">
        <v>0</v>
      </c>
      <c r="C23" s="60">
        <v>1950</v>
      </c>
    </row>
    <row r="24" spans="1:3" x14ac:dyDescent="0.35">
      <c r="A24" s="60" t="s">
        <v>23</v>
      </c>
      <c r="B24">
        <v>0.94988411413807516</v>
      </c>
      <c r="C24" s="60">
        <v>1950</v>
      </c>
    </row>
    <row r="25" spans="1:3" x14ac:dyDescent="0.35">
      <c r="A25" s="60" t="s">
        <v>32</v>
      </c>
      <c r="B25">
        <v>0</v>
      </c>
      <c r="C25" s="60">
        <v>1950</v>
      </c>
    </row>
    <row r="26" spans="1:3" x14ac:dyDescent="0.35">
      <c r="A26" s="60" t="s">
        <v>260</v>
      </c>
      <c r="B26">
        <v>0</v>
      </c>
      <c r="C26" s="60">
        <v>1950</v>
      </c>
    </row>
    <row r="27" spans="1:3" x14ac:dyDescent="0.35">
      <c r="A27" s="60" t="s">
        <v>103</v>
      </c>
      <c r="B27">
        <v>0</v>
      </c>
      <c r="C27" s="60">
        <v>1950</v>
      </c>
    </row>
    <row r="28" spans="1:3" x14ac:dyDescent="0.35">
      <c r="A28" s="60" t="s">
        <v>193</v>
      </c>
      <c r="B28">
        <v>0</v>
      </c>
      <c r="C28" s="60">
        <v>1950</v>
      </c>
    </row>
    <row r="29" spans="1:3" x14ac:dyDescent="0.35">
      <c r="A29" s="60" t="s">
        <v>75</v>
      </c>
      <c r="B29">
        <v>0</v>
      </c>
      <c r="C29" s="60">
        <v>1950</v>
      </c>
    </row>
    <row r="30" spans="1:3" x14ac:dyDescent="0.35">
      <c r="A30" s="60" t="s">
        <v>4</v>
      </c>
      <c r="B30">
        <v>1.4965616496100209</v>
      </c>
      <c r="C30" s="60">
        <v>1950</v>
      </c>
    </row>
    <row r="31" spans="1:3" x14ac:dyDescent="0.35">
      <c r="A31" s="60" t="s">
        <v>88</v>
      </c>
      <c r="B31">
        <v>0</v>
      </c>
      <c r="C31" s="60">
        <v>1950</v>
      </c>
    </row>
    <row r="32" spans="1:3" x14ac:dyDescent="0.35">
      <c r="A32" s="60" t="s">
        <v>55</v>
      </c>
      <c r="B32">
        <v>2.133970679242867</v>
      </c>
      <c r="C32" s="60">
        <v>1950</v>
      </c>
    </row>
    <row r="33" spans="1:3" x14ac:dyDescent="0.35">
      <c r="A33" s="60" t="s">
        <v>161</v>
      </c>
      <c r="B33">
        <v>0</v>
      </c>
      <c r="C33" s="60">
        <v>1950</v>
      </c>
    </row>
    <row r="34" spans="1:3" x14ac:dyDescent="0.35">
      <c r="A34" s="60" t="s">
        <v>136</v>
      </c>
      <c r="B34">
        <v>0</v>
      </c>
      <c r="C34" s="60">
        <v>1950</v>
      </c>
    </row>
    <row r="35" spans="1:3" x14ac:dyDescent="0.35">
      <c r="A35" s="60" t="s">
        <v>3</v>
      </c>
      <c r="B35">
        <v>0</v>
      </c>
      <c r="C35" s="60">
        <v>1950</v>
      </c>
    </row>
    <row r="36" spans="1:3" x14ac:dyDescent="0.35">
      <c r="A36" s="60" t="s">
        <v>72</v>
      </c>
      <c r="B36">
        <v>0</v>
      </c>
      <c r="C36" s="60">
        <v>1950</v>
      </c>
    </row>
    <row r="37" spans="1:3" x14ac:dyDescent="0.35">
      <c r="A37" s="60" t="s">
        <v>79</v>
      </c>
      <c r="B37">
        <v>0</v>
      </c>
      <c r="C37" s="60">
        <v>1950</v>
      </c>
    </row>
    <row r="38" spans="1:3" x14ac:dyDescent="0.35">
      <c r="A38" s="60" t="s">
        <v>121</v>
      </c>
      <c r="B38">
        <v>0</v>
      </c>
      <c r="C38" s="60">
        <v>1950</v>
      </c>
    </row>
    <row r="39" spans="1:3" x14ac:dyDescent="0.35">
      <c r="A39" s="60" t="s">
        <v>85</v>
      </c>
      <c r="B39">
        <v>0</v>
      </c>
      <c r="C39" s="60">
        <v>1950</v>
      </c>
    </row>
    <row r="40" spans="1:3" x14ac:dyDescent="0.35">
      <c r="A40" s="60" t="s">
        <v>54</v>
      </c>
      <c r="B40">
        <v>0</v>
      </c>
      <c r="C40">
        <v>1954</v>
      </c>
    </row>
    <row r="41" spans="1:3" x14ac:dyDescent="0.35">
      <c r="A41" s="60" t="s">
        <v>31</v>
      </c>
      <c r="B41">
        <v>0.38730416932938283</v>
      </c>
      <c r="C41" s="60">
        <v>1954</v>
      </c>
    </row>
    <row r="42" spans="1:3" x14ac:dyDescent="0.35">
      <c r="A42" s="60" t="s">
        <v>97</v>
      </c>
      <c r="B42">
        <v>0</v>
      </c>
      <c r="C42" s="60">
        <v>1954</v>
      </c>
    </row>
    <row r="43" spans="1:3" x14ac:dyDescent="0.35">
      <c r="A43" s="60" t="s">
        <v>23</v>
      </c>
      <c r="B43">
        <v>0</v>
      </c>
      <c r="C43" s="60">
        <v>1954</v>
      </c>
    </row>
    <row r="44" spans="1:3" x14ac:dyDescent="0.35">
      <c r="A44" s="60" t="s">
        <v>32</v>
      </c>
      <c r="B44">
        <v>0</v>
      </c>
      <c r="C44" s="60">
        <v>1954</v>
      </c>
    </row>
    <row r="45" spans="1:3" x14ac:dyDescent="0.35">
      <c r="A45" s="60" t="s">
        <v>260</v>
      </c>
      <c r="B45">
        <v>0</v>
      </c>
      <c r="C45" s="60">
        <v>1954</v>
      </c>
    </row>
    <row r="46" spans="1:3" x14ac:dyDescent="0.35">
      <c r="A46" s="60" t="s">
        <v>103</v>
      </c>
      <c r="B46">
        <v>0</v>
      </c>
      <c r="C46" s="60">
        <v>1954</v>
      </c>
    </row>
    <row r="47" spans="1:3" x14ac:dyDescent="0.35">
      <c r="A47" s="60" t="s">
        <v>193</v>
      </c>
      <c r="B47">
        <v>0</v>
      </c>
      <c r="C47" s="60">
        <v>1954</v>
      </c>
    </row>
    <row r="48" spans="1:3" x14ac:dyDescent="0.35">
      <c r="A48" s="60" t="s">
        <v>75</v>
      </c>
      <c r="B48">
        <v>0</v>
      </c>
      <c r="C48" s="60">
        <v>1954</v>
      </c>
    </row>
    <row r="49" spans="1:3" x14ac:dyDescent="0.35">
      <c r="A49" s="60" t="s">
        <v>4</v>
      </c>
      <c r="B49">
        <v>1.5797039634772443</v>
      </c>
      <c r="C49" s="60">
        <v>1954</v>
      </c>
    </row>
    <row r="50" spans="1:3" x14ac:dyDescent="0.35">
      <c r="A50" s="60" t="s">
        <v>88</v>
      </c>
      <c r="B50">
        <v>0</v>
      </c>
      <c r="C50" s="60">
        <v>1954</v>
      </c>
    </row>
    <row r="51" spans="1:3" x14ac:dyDescent="0.35">
      <c r="A51" s="60" t="s">
        <v>55</v>
      </c>
      <c r="B51">
        <v>0</v>
      </c>
      <c r="C51" s="60">
        <v>1954</v>
      </c>
    </row>
    <row r="52" spans="1:3" x14ac:dyDescent="0.35">
      <c r="A52" s="60" t="s">
        <v>161</v>
      </c>
      <c r="B52">
        <v>0</v>
      </c>
      <c r="C52" s="60">
        <v>1954</v>
      </c>
    </row>
    <row r="53" spans="1:3" x14ac:dyDescent="0.35">
      <c r="A53" s="60" t="s">
        <v>136</v>
      </c>
      <c r="B53">
        <v>0</v>
      </c>
      <c r="C53" s="60">
        <v>1954</v>
      </c>
    </row>
    <row r="54" spans="1:3" x14ac:dyDescent="0.35">
      <c r="A54" s="60" t="s">
        <v>3</v>
      </c>
      <c r="B54">
        <v>0</v>
      </c>
      <c r="C54" s="60">
        <v>1954</v>
      </c>
    </row>
    <row r="55" spans="1:3" x14ac:dyDescent="0.35">
      <c r="A55" s="60" t="s">
        <v>72</v>
      </c>
      <c r="B55">
        <v>1.2595568878868415</v>
      </c>
      <c r="C55" s="60">
        <v>1954</v>
      </c>
    </row>
    <row r="56" spans="1:3" x14ac:dyDescent="0.35">
      <c r="A56" s="60" t="s">
        <v>79</v>
      </c>
      <c r="B56">
        <v>0</v>
      </c>
      <c r="C56" s="60">
        <v>1954</v>
      </c>
    </row>
    <row r="57" spans="1:3" x14ac:dyDescent="0.35">
      <c r="A57" s="60" t="s">
        <v>121</v>
      </c>
      <c r="B57">
        <v>0</v>
      </c>
      <c r="C57" s="60">
        <v>1954</v>
      </c>
    </row>
    <row r="58" spans="1:3" x14ac:dyDescent="0.35">
      <c r="A58" s="60" t="s">
        <v>85</v>
      </c>
      <c r="B58">
        <v>0</v>
      </c>
      <c r="C58" s="60">
        <v>1954</v>
      </c>
    </row>
    <row r="59" spans="1:3" x14ac:dyDescent="0.35">
      <c r="A59" s="60" t="s">
        <v>54</v>
      </c>
      <c r="B59">
        <v>1.8923982362848437</v>
      </c>
      <c r="C59">
        <v>1966</v>
      </c>
    </row>
    <row r="60" spans="1:3" x14ac:dyDescent="0.35">
      <c r="A60" s="60" t="s">
        <v>31</v>
      </c>
      <c r="B60">
        <v>0</v>
      </c>
      <c r="C60" s="60">
        <v>1966</v>
      </c>
    </row>
    <row r="61" spans="1:3" x14ac:dyDescent="0.35">
      <c r="A61" s="60" t="s">
        <v>97</v>
      </c>
      <c r="B61">
        <v>1.4079945933007618</v>
      </c>
      <c r="C61" s="60">
        <v>1966</v>
      </c>
    </row>
    <row r="62" spans="1:3" x14ac:dyDescent="0.35">
      <c r="A62" s="60" t="s">
        <v>23</v>
      </c>
      <c r="B62">
        <v>0.94988411413807516</v>
      </c>
      <c r="C62" s="60">
        <v>1966</v>
      </c>
    </row>
    <row r="63" spans="1:3" x14ac:dyDescent="0.35">
      <c r="A63" s="60" t="s">
        <v>32</v>
      </c>
      <c r="B63">
        <v>0</v>
      </c>
      <c r="C63" s="60">
        <v>1966</v>
      </c>
    </row>
    <row r="64" spans="1:3" x14ac:dyDescent="0.35">
      <c r="A64" s="60" t="s">
        <v>260</v>
      </c>
      <c r="B64">
        <v>0</v>
      </c>
      <c r="C64" s="60">
        <v>1966</v>
      </c>
    </row>
    <row r="65" spans="1:3" x14ac:dyDescent="0.35">
      <c r="A65" s="60" t="s">
        <v>103</v>
      </c>
      <c r="B65">
        <v>0</v>
      </c>
      <c r="C65" s="60">
        <v>1966</v>
      </c>
    </row>
    <row r="66" spans="1:3" x14ac:dyDescent="0.35">
      <c r="A66" s="60" t="s">
        <v>193</v>
      </c>
      <c r="B66">
        <v>0</v>
      </c>
      <c r="C66" s="60">
        <v>1966</v>
      </c>
    </row>
    <row r="67" spans="1:3" x14ac:dyDescent="0.35">
      <c r="A67" s="60" t="s">
        <v>75</v>
      </c>
      <c r="B67">
        <v>3.26482639285656</v>
      </c>
      <c r="C67" s="60">
        <v>1966</v>
      </c>
    </row>
    <row r="68" spans="1:3" x14ac:dyDescent="0.35">
      <c r="A68" s="60" t="s">
        <v>4</v>
      </c>
      <c r="B68">
        <v>0.91456545253945731</v>
      </c>
      <c r="C68" s="60">
        <v>1966</v>
      </c>
    </row>
    <row r="69" spans="1:3" x14ac:dyDescent="0.35">
      <c r="A69" s="60" t="s">
        <v>88</v>
      </c>
      <c r="B69">
        <v>1.135989276261232</v>
      </c>
      <c r="C69" s="60">
        <v>1966</v>
      </c>
    </row>
    <row r="70" spans="1:3" x14ac:dyDescent="0.35">
      <c r="A70" s="60" t="s">
        <v>55</v>
      </c>
      <c r="B70">
        <v>0</v>
      </c>
      <c r="C70" s="60">
        <v>1966</v>
      </c>
    </row>
    <row r="71" spans="1:3" x14ac:dyDescent="0.35">
      <c r="A71" s="60" t="s">
        <v>161</v>
      </c>
      <c r="B71">
        <v>0</v>
      </c>
      <c r="C71" s="60">
        <v>1966</v>
      </c>
    </row>
    <row r="72" spans="1:3" x14ac:dyDescent="0.35">
      <c r="A72" s="60" t="s">
        <v>136</v>
      </c>
      <c r="B72">
        <v>0</v>
      </c>
      <c r="C72" s="60">
        <v>1966</v>
      </c>
    </row>
    <row r="73" spans="1:3" x14ac:dyDescent="0.35">
      <c r="A73" s="60" t="s">
        <v>3</v>
      </c>
      <c r="B73">
        <v>1.0847987155983208</v>
      </c>
      <c r="C73" s="60">
        <v>1966</v>
      </c>
    </row>
    <row r="74" spans="1:3" x14ac:dyDescent="0.35">
      <c r="A74" s="60" t="s">
        <v>72</v>
      </c>
      <c r="B74">
        <v>1.2595568878868415</v>
      </c>
      <c r="C74" s="60">
        <v>1966</v>
      </c>
    </row>
    <row r="75" spans="1:3" x14ac:dyDescent="0.35">
      <c r="A75" s="60" t="s">
        <v>79</v>
      </c>
      <c r="B75">
        <v>1.2841091492776886</v>
      </c>
      <c r="C75" s="60">
        <v>1966</v>
      </c>
    </row>
    <row r="76" spans="1:3" x14ac:dyDescent="0.35">
      <c r="A76" s="60" t="s">
        <v>121</v>
      </c>
      <c r="B76">
        <v>0</v>
      </c>
      <c r="C76" s="60">
        <v>1966</v>
      </c>
    </row>
    <row r="77" spans="1:3" x14ac:dyDescent="0.35">
      <c r="A77" s="60" t="s">
        <v>85</v>
      </c>
      <c r="B77">
        <v>2.3031391787005688</v>
      </c>
      <c r="C77" s="60">
        <v>1966</v>
      </c>
    </row>
    <row r="78" spans="1:3" x14ac:dyDescent="0.35">
      <c r="A78" s="60" t="s">
        <v>54</v>
      </c>
      <c r="B78">
        <v>0</v>
      </c>
      <c r="C78">
        <v>1970</v>
      </c>
    </row>
    <row r="79" spans="1:3" x14ac:dyDescent="0.35">
      <c r="A79" s="60" t="s">
        <v>31</v>
      </c>
      <c r="B79">
        <v>0.30713096678685725</v>
      </c>
      <c r="C79" s="60">
        <v>1970</v>
      </c>
    </row>
    <row r="80" spans="1:3" x14ac:dyDescent="0.35">
      <c r="A80" s="60" t="s">
        <v>97</v>
      </c>
      <c r="B80">
        <v>0</v>
      </c>
      <c r="C80" s="60">
        <v>1970</v>
      </c>
    </row>
    <row r="81" spans="1:3" x14ac:dyDescent="0.35">
      <c r="A81" s="60" t="s">
        <v>23</v>
      </c>
      <c r="B81">
        <v>0</v>
      </c>
      <c r="C81" s="60">
        <v>1970</v>
      </c>
    </row>
    <row r="82" spans="1:3" x14ac:dyDescent="0.35">
      <c r="A82" s="60" t="s">
        <v>32</v>
      </c>
      <c r="B82">
        <v>0</v>
      </c>
      <c r="C82" s="60">
        <v>1970</v>
      </c>
    </row>
    <row r="83" spans="1:3" x14ac:dyDescent="0.35">
      <c r="A83" s="60" t="s">
        <v>260</v>
      </c>
      <c r="B83">
        <v>0</v>
      </c>
      <c r="C83" s="60">
        <v>1970</v>
      </c>
    </row>
    <row r="84" spans="1:3" x14ac:dyDescent="0.35">
      <c r="A84" s="60" t="s">
        <v>103</v>
      </c>
      <c r="B84">
        <v>1.4896691444830104</v>
      </c>
      <c r="C84" s="60">
        <v>1970</v>
      </c>
    </row>
    <row r="85" spans="1:3" x14ac:dyDescent="0.35">
      <c r="A85" s="60" t="s">
        <v>193</v>
      </c>
      <c r="B85">
        <v>0</v>
      </c>
      <c r="C85" s="60">
        <v>1970</v>
      </c>
    </row>
    <row r="86" spans="1:3" x14ac:dyDescent="0.35">
      <c r="A86" s="60" t="s">
        <v>75</v>
      </c>
      <c r="B86">
        <v>2.6242930810512917</v>
      </c>
      <c r="C86" s="60">
        <v>1970</v>
      </c>
    </row>
    <row r="87" spans="1:3" x14ac:dyDescent="0.35">
      <c r="A87" s="60" t="s">
        <v>4</v>
      </c>
      <c r="B87">
        <v>0.80825911494010394</v>
      </c>
      <c r="C87" s="60">
        <v>1970</v>
      </c>
    </row>
    <row r="88" spans="1:3" x14ac:dyDescent="0.35">
      <c r="A88" s="60" t="s">
        <v>88</v>
      </c>
      <c r="B88">
        <v>2.0302919559832704</v>
      </c>
      <c r="C88" s="60">
        <v>1970</v>
      </c>
    </row>
    <row r="89" spans="1:3" x14ac:dyDescent="0.35">
      <c r="A89" s="60" t="s">
        <v>55</v>
      </c>
      <c r="B89">
        <v>0</v>
      </c>
      <c r="C89" s="60">
        <v>1970</v>
      </c>
    </row>
    <row r="90" spans="1:3" x14ac:dyDescent="0.35">
      <c r="A90" s="60" t="s">
        <v>161</v>
      </c>
      <c r="B90">
        <v>0</v>
      </c>
      <c r="C90" s="60">
        <v>1970</v>
      </c>
    </row>
    <row r="91" spans="1:3" x14ac:dyDescent="0.35">
      <c r="A91" s="60" t="s">
        <v>136</v>
      </c>
      <c r="B91">
        <v>0</v>
      </c>
      <c r="C91" s="60">
        <v>1970</v>
      </c>
    </row>
    <row r="92" spans="1:3" x14ac:dyDescent="0.35">
      <c r="A92" s="60" t="s">
        <v>3</v>
      </c>
      <c r="B92">
        <v>0.97017676620680293</v>
      </c>
      <c r="C92" s="60">
        <v>1970</v>
      </c>
    </row>
    <row r="93" spans="1:3" x14ac:dyDescent="0.35">
      <c r="A93" s="60" t="s">
        <v>72</v>
      </c>
      <c r="B93">
        <v>1.1363636363636365</v>
      </c>
      <c r="C93" s="60">
        <v>1970</v>
      </c>
    </row>
    <row r="94" spans="1:3" x14ac:dyDescent="0.35">
      <c r="A94" s="60" t="s">
        <v>79</v>
      </c>
      <c r="B94">
        <v>2.4809586424194308</v>
      </c>
      <c r="C94" s="60">
        <v>1970</v>
      </c>
    </row>
    <row r="95" spans="1:3" x14ac:dyDescent="0.35">
      <c r="A95" s="60" t="s">
        <v>121</v>
      </c>
      <c r="B95">
        <v>0</v>
      </c>
      <c r="C95" s="60">
        <v>1970</v>
      </c>
    </row>
    <row r="96" spans="1:3" x14ac:dyDescent="0.35">
      <c r="A96" s="60" t="s">
        <v>85</v>
      </c>
      <c r="B96">
        <v>0</v>
      </c>
      <c r="C96" s="60">
        <v>1970</v>
      </c>
    </row>
    <row r="97" spans="1:3" x14ac:dyDescent="0.35">
      <c r="A97" s="60" t="s">
        <v>54</v>
      </c>
      <c r="B97">
        <v>1.725714877387958</v>
      </c>
      <c r="C97">
        <v>1974</v>
      </c>
    </row>
    <row r="98" spans="1:3" x14ac:dyDescent="0.35">
      <c r="A98" s="60" t="s">
        <v>31</v>
      </c>
      <c r="B98">
        <v>0</v>
      </c>
      <c r="C98" s="60">
        <v>1974</v>
      </c>
    </row>
    <row r="99" spans="1:3" x14ac:dyDescent="0.35">
      <c r="A99" s="60" t="s">
        <v>97</v>
      </c>
      <c r="B99">
        <v>0</v>
      </c>
      <c r="C99" s="60">
        <v>1974</v>
      </c>
    </row>
    <row r="100" spans="1:3" x14ac:dyDescent="0.35">
      <c r="A100" s="60" t="s">
        <v>23</v>
      </c>
      <c r="B100">
        <v>0</v>
      </c>
      <c r="C100" s="60">
        <v>1974</v>
      </c>
    </row>
    <row r="101" spans="1:3" x14ac:dyDescent="0.35">
      <c r="A101" s="60" t="s">
        <v>32</v>
      </c>
      <c r="B101">
        <v>0</v>
      </c>
      <c r="C101" s="60">
        <v>1974</v>
      </c>
    </row>
    <row r="102" spans="1:3" x14ac:dyDescent="0.35">
      <c r="A102" s="60" t="s">
        <v>260</v>
      </c>
      <c r="B102">
        <v>0</v>
      </c>
      <c r="C102" s="60">
        <v>1974</v>
      </c>
    </row>
    <row r="103" spans="1:3" x14ac:dyDescent="0.35">
      <c r="A103" s="60" t="s">
        <v>103</v>
      </c>
      <c r="B103">
        <v>0</v>
      </c>
      <c r="C103" s="60">
        <v>1974</v>
      </c>
    </row>
    <row r="104" spans="1:3" x14ac:dyDescent="0.35">
      <c r="A104" s="60" t="s">
        <v>193</v>
      </c>
      <c r="B104">
        <v>0</v>
      </c>
      <c r="C104" s="60">
        <v>1974</v>
      </c>
    </row>
    <row r="105" spans="1:3" x14ac:dyDescent="0.35">
      <c r="A105" s="60" t="s">
        <v>75</v>
      </c>
      <c r="B105">
        <v>1.3121465405256458</v>
      </c>
      <c r="C105" s="60">
        <v>1974</v>
      </c>
    </row>
    <row r="106" spans="1:3" x14ac:dyDescent="0.35">
      <c r="A106" s="60" t="s">
        <v>4</v>
      </c>
      <c r="B106">
        <v>0.96991093792812477</v>
      </c>
      <c r="C106" s="60">
        <v>1974</v>
      </c>
    </row>
    <row r="107" spans="1:3" x14ac:dyDescent="0.35">
      <c r="A107" s="60" t="s">
        <v>88</v>
      </c>
      <c r="B107">
        <v>1.0151459779916352</v>
      </c>
      <c r="C107" s="60">
        <v>1974</v>
      </c>
    </row>
    <row r="108" spans="1:3" x14ac:dyDescent="0.35">
      <c r="A108" s="60" t="s">
        <v>55</v>
      </c>
      <c r="B108">
        <v>0</v>
      </c>
      <c r="C108" s="60">
        <v>1974</v>
      </c>
    </row>
    <row r="109" spans="1:3" x14ac:dyDescent="0.35">
      <c r="A109" s="60" t="s">
        <v>161</v>
      </c>
      <c r="B109">
        <v>0</v>
      </c>
      <c r="C109" s="60">
        <v>1974</v>
      </c>
    </row>
    <row r="110" spans="1:3" x14ac:dyDescent="0.35">
      <c r="A110" s="60" t="s">
        <v>136</v>
      </c>
      <c r="B110">
        <v>1.6595306847223605</v>
      </c>
      <c r="C110" s="60">
        <v>1974</v>
      </c>
    </row>
    <row r="111" spans="1:3" x14ac:dyDescent="0.35">
      <c r="A111" s="60" t="s">
        <v>3</v>
      </c>
      <c r="B111">
        <v>0.97017676620680293</v>
      </c>
      <c r="C111" s="60">
        <v>1974</v>
      </c>
    </row>
    <row r="112" spans="1:3" x14ac:dyDescent="0.35">
      <c r="A112" s="60" t="s">
        <v>72</v>
      </c>
      <c r="B112">
        <v>0</v>
      </c>
      <c r="C112" s="60">
        <v>1974</v>
      </c>
    </row>
    <row r="113" spans="1:3" x14ac:dyDescent="0.35">
      <c r="A113" s="60" t="s">
        <v>79</v>
      </c>
      <c r="B113">
        <v>2.4809586424194308</v>
      </c>
      <c r="C113" s="60">
        <v>1974</v>
      </c>
    </row>
    <row r="114" spans="1:3" x14ac:dyDescent="0.35">
      <c r="A114" s="60" t="s">
        <v>121</v>
      </c>
      <c r="B114">
        <v>2.3658839533920859</v>
      </c>
      <c r="C114" s="60">
        <v>1974</v>
      </c>
    </row>
    <row r="115" spans="1:3" x14ac:dyDescent="0.35">
      <c r="A115" s="60" t="s">
        <v>85</v>
      </c>
      <c r="B115">
        <v>0</v>
      </c>
      <c r="C115" s="60">
        <v>1974</v>
      </c>
    </row>
    <row r="116" spans="1:3" x14ac:dyDescent="0.35">
      <c r="A116" s="60" t="s">
        <v>54</v>
      </c>
      <c r="B116">
        <v>2.8924723407332418</v>
      </c>
      <c r="C116">
        <v>1986</v>
      </c>
    </row>
    <row r="117" spans="1:3" x14ac:dyDescent="0.35">
      <c r="A117" s="60" t="s">
        <v>31</v>
      </c>
      <c r="B117">
        <v>0.82361468010805827</v>
      </c>
      <c r="C117" s="60">
        <v>1986</v>
      </c>
    </row>
    <row r="118" spans="1:3" x14ac:dyDescent="0.35">
      <c r="A118" s="60" t="s">
        <v>97</v>
      </c>
      <c r="B118">
        <v>0</v>
      </c>
      <c r="C118" s="60">
        <v>1986</v>
      </c>
    </row>
    <row r="119" spans="1:3" x14ac:dyDescent="0.35">
      <c r="A119" s="60" t="s">
        <v>23</v>
      </c>
      <c r="B119">
        <v>0.88717762183166693</v>
      </c>
      <c r="C119" s="60">
        <v>1986</v>
      </c>
    </row>
    <row r="120" spans="1:3" x14ac:dyDescent="0.35">
      <c r="A120" s="60" t="s">
        <v>32</v>
      </c>
      <c r="B120">
        <v>0</v>
      </c>
      <c r="C120" s="60">
        <v>1986</v>
      </c>
    </row>
    <row r="121" spans="1:3" x14ac:dyDescent="0.35">
      <c r="A121" s="60" t="s">
        <v>260</v>
      </c>
      <c r="B121">
        <v>0</v>
      </c>
      <c r="C121" s="60">
        <v>1986</v>
      </c>
    </row>
    <row r="122" spans="1:3" x14ac:dyDescent="0.35">
      <c r="A122" s="60" t="s">
        <v>103</v>
      </c>
      <c r="B122">
        <v>0</v>
      </c>
      <c r="C122" s="60">
        <v>1986</v>
      </c>
    </row>
    <row r="123" spans="1:3" x14ac:dyDescent="0.35">
      <c r="A123" s="60" t="s">
        <v>193</v>
      </c>
      <c r="B123">
        <v>0</v>
      </c>
      <c r="C123" s="60">
        <v>1986</v>
      </c>
    </row>
    <row r="124" spans="1:3" x14ac:dyDescent="0.35">
      <c r="A124" s="60" t="s">
        <v>75</v>
      </c>
      <c r="B124">
        <v>0</v>
      </c>
      <c r="C124" s="60">
        <v>1986</v>
      </c>
    </row>
    <row r="125" spans="1:3" x14ac:dyDescent="0.35">
      <c r="A125" s="60" t="s">
        <v>4</v>
      </c>
      <c r="B125">
        <v>0.91465087775995901</v>
      </c>
      <c r="C125" s="60">
        <v>1986</v>
      </c>
    </row>
    <row r="126" spans="1:3" x14ac:dyDescent="0.35">
      <c r="A126" s="60" t="s">
        <v>88</v>
      </c>
      <c r="B126">
        <v>0</v>
      </c>
      <c r="C126" s="60">
        <v>1986</v>
      </c>
    </row>
    <row r="127" spans="1:3" x14ac:dyDescent="0.35">
      <c r="A127" s="60" t="s">
        <v>55</v>
      </c>
      <c r="B127">
        <v>0</v>
      </c>
      <c r="C127" s="60">
        <v>1986</v>
      </c>
    </row>
    <row r="128" spans="1:3" x14ac:dyDescent="0.35">
      <c r="A128" s="60" t="s">
        <v>161</v>
      </c>
      <c r="B128">
        <v>0</v>
      </c>
      <c r="C128" s="60">
        <v>1986</v>
      </c>
    </row>
    <row r="129" spans="1:3" x14ac:dyDescent="0.35">
      <c r="A129" s="60" t="s">
        <v>136</v>
      </c>
      <c r="B129">
        <v>0</v>
      </c>
      <c r="C129" s="60">
        <v>1986</v>
      </c>
    </row>
    <row r="130" spans="1:3" x14ac:dyDescent="0.35">
      <c r="A130" s="60" t="s">
        <v>3</v>
      </c>
      <c r="B130">
        <v>0.92176942859513122</v>
      </c>
      <c r="C130" s="60">
        <v>1986</v>
      </c>
    </row>
    <row r="131" spans="1:3" x14ac:dyDescent="0.35">
      <c r="A131" s="60" t="s">
        <v>72</v>
      </c>
      <c r="B131">
        <v>0</v>
      </c>
      <c r="C131" s="60">
        <v>1986</v>
      </c>
    </row>
    <row r="132" spans="1:3" x14ac:dyDescent="0.35">
      <c r="A132" s="60" t="s">
        <v>79</v>
      </c>
      <c r="B132">
        <v>0</v>
      </c>
      <c r="C132" s="60">
        <v>1986</v>
      </c>
    </row>
    <row r="133" spans="1:3" x14ac:dyDescent="0.35">
      <c r="A133" s="60" t="s">
        <v>121</v>
      </c>
      <c r="B133">
        <v>0</v>
      </c>
      <c r="C133" s="60">
        <v>1986</v>
      </c>
    </row>
    <row r="134" spans="1:3" x14ac:dyDescent="0.35">
      <c r="A134" s="60" t="s">
        <v>85</v>
      </c>
      <c r="B134">
        <v>2.1336064349570076</v>
      </c>
      <c r="C134" s="60">
        <v>1986</v>
      </c>
    </row>
    <row r="135" spans="1:3" x14ac:dyDescent="0.35">
      <c r="A135" s="60" t="s">
        <v>54</v>
      </c>
      <c r="B135">
        <v>2.8924723407332418</v>
      </c>
      <c r="C135">
        <v>1990</v>
      </c>
    </row>
    <row r="136" spans="1:3" x14ac:dyDescent="0.35">
      <c r="A136" s="60" t="s">
        <v>31</v>
      </c>
      <c r="B136">
        <v>0.27453822670268607</v>
      </c>
      <c r="C136" s="60">
        <v>1990</v>
      </c>
    </row>
    <row r="137" spans="1:3" x14ac:dyDescent="0.35">
      <c r="A137" s="60" t="s">
        <v>97</v>
      </c>
      <c r="B137">
        <v>0</v>
      </c>
      <c r="C137" s="60">
        <v>1990</v>
      </c>
    </row>
    <row r="138" spans="1:3" x14ac:dyDescent="0.35">
      <c r="A138" s="60" t="s">
        <v>23</v>
      </c>
      <c r="B138">
        <v>0</v>
      </c>
      <c r="C138" s="60">
        <v>1990</v>
      </c>
    </row>
    <row r="139" spans="1:3" x14ac:dyDescent="0.35">
      <c r="A139" s="60" t="s">
        <v>32</v>
      </c>
      <c r="B139">
        <v>3.6312798445812224</v>
      </c>
      <c r="C139" s="60">
        <v>1990</v>
      </c>
    </row>
    <row r="140" spans="1:3" x14ac:dyDescent="0.35">
      <c r="A140" s="60" t="s">
        <v>260</v>
      </c>
      <c r="B140">
        <v>0</v>
      </c>
      <c r="C140" s="60">
        <v>1990</v>
      </c>
    </row>
    <row r="141" spans="1:3" x14ac:dyDescent="0.35">
      <c r="A141" s="60" t="s">
        <v>103</v>
      </c>
      <c r="B141">
        <v>0</v>
      </c>
      <c r="C141" s="60">
        <v>1990</v>
      </c>
    </row>
    <row r="142" spans="1:3" x14ac:dyDescent="0.35">
      <c r="A142" s="60" t="s">
        <v>193</v>
      </c>
      <c r="B142">
        <v>0</v>
      </c>
      <c r="C142" s="60">
        <v>1990</v>
      </c>
    </row>
    <row r="143" spans="1:3" x14ac:dyDescent="0.35">
      <c r="A143" s="60" t="s">
        <v>75</v>
      </c>
      <c r="B143">
        <v>0</v>
      </c>
      <c r="C143" s="60">
        <v>1990</v>
      </c>
    </row>
    <row r="144" spans="1:3" x14ac:dyDescent="0.35">
      <c r="A144" s="60" t="s">
        <v>4</v>
      </c>
      <c r="B144">
        <v>0.83842997127996244</v>
      </c>
      <c r="C144" s="60">
        <v>1990</v>
      </c>
    </row>
    <row r="145" spans="1:3" x14ac:dyDescent="0.35">
      <c r="A145" s="60" t="s">
        <v>88</v>
      </c>
      <c r="B145">
        <v>0</v>
      </c>
      <c r="C145" s="60">
        <v>1990</v>
      </c>
    </row>
    <row r="146" spans="1:3" x14ac:dyDescent="0.35">
      <c r="A146" s="60" t="s">
        <v>55</v>
      </c>
      <c r="B146">
        <v>0</v>
      </c>
      <c r="C146" s="60">
        <v>1990</v>
      </c>
    </row>
    <row r="147" spans="1:3" x14ac:dyDescent="0.35">
      <c r="A147" s="60" t="s">
        <v>161</v>
      </c>
      <c r="B147">
        <v>2.2352612461581449</v>
      </c>
      <c r="C147" s="60">
        <v>1990</v>
      </c>
    </row>
    <row r="148" spans="1:3" x14ac:dyDescent="0.35">
      <c r="A148" s="60" t="s">
        <v>136</v>
      </c>
      <c r="B148">
        <v>1.5014789567724209</v>
      </c>
      <c r="C148" s="60">
        <v>1990</v>
      </c>
    </row>
    <row r="149" spans="1:3" x14ac:dyDescent="0.35">
      <c r="A149" s="60" t="s">
        <v>3</v>
      </c>
      <c r="B149">
        <v>0.92176942859513122</v>
      </c>
      <c r="C149" s="60">
        <v>1990</v>
      </c>
    </row>
    <row r="150" spans="1:3" x14ac:dyDescent="0.35">
      <c r="A150" s="60" t="s">
        <v>72</v>
      </c>
      <c r="B150">
        <v>0</v>
      </c>
      <c r="C150" s="60">
        <v>1990</v>
      </c>
    </row>
    <row r="151" spans="1:3" x14ac:dyDescent="0.35">
      <c r="A151" s="60" t="s">
        <v>79</v>
      </c>
      <c r="B151">
        <v>2.5176550560807662</v>
      </c>
      <c r="C151" s="60">
        <v>1990</v>
      </c>
    </row>
    <row r="152" spans="1:3" x14ac:dyDescent="0.35">
      <c r="A152" s="60" t="s">
        <v>121</v>
      </c>
      <c r="B152">
        <v>0</v>
      </c>
      <c r="C152" s="60">
        <v>1990</v>
      </c>
    </row>
    <row r="153" spans="1:3" x14ac:dyDescent="0.35">
      <c r="A153" s="60" t="s">
        <v>85</v>
      </c>
      <c r="B153">
        <v>0</v>
      </c>
      <c r="C153" s="60">
        <v>1990</v>
      </c>
    </row>
    <row r="154" spans="1:3" x14ac:dyDescent="0.35">
      <c r="A154" s="60" t="s">
        <v>54</v>
      </c>
      <c r="B154">
        <v>1.2817390635614401</v>
      </c>
      <c r="C154">
        <v>2002</v>
      </c>
    </row>
    <row r="155" spans="1:3" x14ac:dyDescent="0.35">
      <c r="A155" s="60" t="s">
        <v>31</v>
      </c>
      <c r="B155">
        <v>0.4121671750061825</v>
      </c>
      <c r="C155" s="60">
        <v>2002</v>
      </c>
    </row>
    <row r="156" spans="1:3" x14ac:dyDescent="0.35">
      <c r="A156" s="60" t="s">
        <v>97</v>
      </c>
      <c r="B156">
        <v>0</v>
      </c>
      <c r="C156" s="60">
        <v>2002</v>
      </c>
    </row>
    <row r="157" spans="1:3" x14ac:dyDescent="0.35">
      <c r="A157" s="60" t="s">
        <v>23</v>
      </c>
      <c r="B157">
        <v>0.83846192544396558</v>
      </c>
      <c r="C157" s="60">
        <v>2002</v>
      </c>
    </row>
    <row r="158" spans="1:3" x14ac:dyDescent="0.35">
      <c r="A158" s="60" t="s">
        <v>32</v>
      </c>
      <c r="B158">
        <v>0</v>
      </c>
      <c r="C158" s="60">
        <v>2002</v>
      </c>
    </row>
    <row r="159" spans="1:3" x14ac:dyDescent="0.35">
      <c r="A159" s="60" t="s">
        <v>260</v>
      </c>
      <c r="B159">
        <v>0</v>
      </c>
      <c r="C159" s="60">
        <v>2002</v>
      </c>
    </row>
    <row r="160" spans="1:3" x14ac:dyDescent="0.35">
      <c r="A160" s="60" t="s">
        <v>103</v>
      </c>
      <c r="B160">
        <v>0</v>
      </c>
      <c r="C160" s="60">
        <v>2002</v>
      </c>
    </row>
    <row r="161" spans="1:3" x14ac:dyDescent="0.35">
      <c r="A161" s="60" t="s">
        <v>193</v>
      </c>
      <c r="B161">
        <v>1.6413623307345095</v>
      </c>
      <c r="C161" s="60">
        <v>2002</v>
      </c>
    </row>
    <row r="162" spans="1:3" x14ac:dyDescent="0.35">
      <c r="A162" s="60" t="s">
        <v>75</v>
      </c>
      <c r="B162">
        <v>0</v>
      </c>
      <c r="C162" s="60">
        <v>2002</v>
      </c>
    </row>
    <row r="163" spans="1:3" x14ac:dyDescent="0.35">
      <c r="A163" s="60" t="s">
        <v>4</v>
      </c>
      <c r="B163">
        <v>1.0558324182785708</v>
      </c>
      <c r="C163" s="60">
        <v>2002</v>
      </c>
    </row>
    <row r="164" spans="1:3" x14ac:dyDescent="0.35">
      <c r="A164" s="60" t="s">
        <v>88</v>
      </c>
      <c r="B164">
        <v>0</v>
      </c>
      <c r="C164" s="60">
        <v>2002</v>
      </c>
    </row>
    <row r="165" spans="1:3" x14ac:dyDescent="0.35">
      <c r="A165" s="60" t="s">
        <v>55</v>
      </c>
      <c r="B165">
        <v>1.8522291577914018</v>
      </c>
      <c r="C165" s="60">
        <v>2002</v>
      </c>
    </row>
    <row r="166" spans="1:3" x14ac:dyDescent="0.35">
      <c r="A166" s="60" t="s">
        <v>161</v>
      </c>
      <c r="B166">
        <v>0</v>
      </c>
      <c r="C166" s="60">
        <v>2002</v>
      </c>
    </row>
    <row r="167" spans="1:3" x14ac:dyDescent="0.35">
      <c r="A167" s="60" t="s">
        <v>136</v>
      </c>
      <c r="B167">
        <v>0</v>
      </c>
      <c r="C167" s="60">
        <v>2002</v>
      </c>
    </row>
    <row r="168" spans="1:3" x14ac:dyDescent="0.35">
      <c r="A168" s="60" t="s">
        <v>3</v>
      </c>
      <c r="B168">
        <v>0.81221572449642621</v>
      </c>
      <c r="C168" s="60">
        <v>2002</v>
      </c>
    </row>
    <row r="169" spans="1:3" x14ac:dyDescent="0.35">
      <c r="A169" s="60" t="s">
        <v>72</v>
      </c>
      <c r="B169">
        <v>0</v>
      </c>
      <c r="C169" s="60">
        <v>2002</v>
      </c>
    </row>
    <row r="170" spans="1:3" x14ac:dyDescent="0.35">
      <c r="A170" s="60" t="s">
        <v>79</v>
      </c>
      <c r="B170">
        <v>0</v>
      </c>
      <c r="C170" s="60">
        <v>2002</v>
      </c>
    </row>
    <row r="171" spans="1:3" x14ac:dyDescent="0.35">
      <c r="A171" s="60" t="s">
        <v>121</v>
      </c>
      <c r="B171">
        <v>1.1051066980516968</v>
      </c>
      <c r="C171" s="60">
        <v>2002</v>
      </c>
    </row>
    <row r="172" spans="1:3" x14ac:dyDescent="0.35">
      <c r="A172" s="60" t="s">
        <v>85</v>
      </c>
      <c r="B172">
        <v>2.027657244819336</v>
      </c>
      <c r="C172" s="60">
        <v>2002</v>
      </c>
    </row>
    <row r="173" spans="1:3" x14ac:dyDescent="0.35">
      <c r="A173" s="60" t="s">
        <v>54</v>
      </c>
      <c r="B173">
        <v>0</v>
      </c>
      <c r="C173">
        <v>2010</v>
      </c>
    </row>
    <row r="174" spans="1:3" x14ac:dyDescent="0.35">
      <c r="A174" s="60" t="s">
        <v>31</v>
      </c>
      <c r="B174">
        <v>0.19223856036386916</v>
      </c>
      <c r="C174" s="60">
        <v>2010</v>
      </c>
    </row>
    <row r="175" spans="1:3" x14ac:dyDescent="0.35">
      <c r="A175" s="60" t="s">
        <v>97</v>
      </c>
      <c r="B175">
        <v>0</v>
      </c>
      <c r="C175" s="60">
        <v>2010</v>
      </c>
    </row>
    <row r="176" spans="1:3" x14ac:dyDescent="0.35">
      <c r="A176" s="60" t="s">
        <v>23</v>
      </c>
      <c r="B176">
        <v>1.623337094064268</v>
      </c>
      <c r="C176" s="60">
        <v>2010</v>
      </c>
    </row>
    <row r="177" spans="1:3" x14ac:dyDescent="0.35">
      <c r="A177" s="60" t="s">
        <v>32</v>
      </c>
      <c r="B177">
        <v>1.7516816143497758</v>
      </c>
      <c r="C177" s="60">
        <v>2010</v>
      </c>
    </row>
    <row r="178" spans="1:3" x14ac:dyDescent="0.35">
      <c r="A178" s="60" t="s">
        <v>260</v>
      </c>
      <c r="B178">
        <v>0</v>
      </c>
      <c r="C178" s="60">
        <v>2010</v>
      </c>
    </row>
    <row r="179" spans="1:3" x14ac:dyDescent="0.35">
      <c r="A179" s="60" t="s">
        <v>103</v>
      </c>
      <c r="B179">
        <v>0</v>
      </c>
      <c r="C179" s="60">
        <v>2010</v>
      </c>
    </row>
    <row r="180" spans="1:3" x14ac:dyDescent="0.35">
      <c r="A180" s="60" t="s">
        <v>193</v>
      </c>
      <c r="B180">
        <v>1.7002465357476835</v>
      </c>
      <c r="C180" s="60">
        <v>2010</v>
      </c>
    </row>
    <row r="181" spans="1:3" x14ac:dyDescent="0.35">
      <c r="A181" s="60" t="s">
        <v>75</v>
      </c>
      <c r="B181">
        <v>0</v>
      </c>
      <c r="C181" s="60">
        <v>2010</v>
      </c>
    </row>
    <row r="182" spans="1:3" x14ac:dyDescent="0.35">
      <c r="A182" s="60" t="s">
        <v>4</v>
      </c>
      <c r="B182">
        <v>0.90970564957531908</v>
      </c>
      <c r="C182" s="60">
        <v>2010</v>
      </c>
    </row>
    <row r="183" spans="1:3" x14ac:dyDescent="0.35">
      <c r="A183" s="60" t="s">
        <v>88</v>
      </c>
      <c r="B183">
        <v>2.6519571443725471</v>
      </c>
      <c r="C183" s="60">
        <v>2010</v>
      </c>
    </row>
    <row r="184" spans="1:3" x14ac:dyDescent="0.35">
      <c r="A184" s="60" t="s">
        <v>55</v>
      </c>
      <c r="B184">
        <v>0</v>
      </c>
      <c r="C184" s="60">
        <v>2010</v>
      </c>
    </row>
    <row r="185" spans="1:3" x14ac:dyDescent="0.35">
      <c r="A185" s="60" t="s">
        <v>161</v>
      </c>
      <c r="B185">
        <v>0</v>
      </c>
      <c r="C185" s="60">
        <v>2010</v>
      </c>
    </row>
    <row r="186" spans="1:3" x14ac:dyDescent="0.35">
      <c r="A186" s="60" t="s">
        <v>136</v>
      </c>
      <c r="B186">
        <v>0</v>
      </c>
      <c r="C186" s="60">
        <v>2010</v>
      </c>
    </row>
    <row r="187" spans="1:3" x14ac:dyDescent="0.35">
      <c r="A187" s="60" t="s">
        <v>3</v>
      </c>
      <c r="B187">
        <v>1.601563125610596</v>
      </c>
      <c r="C187" s="60">
        <v>2010</v>
      </c>
    </row>
    <row r="188" spans="1:3" x14ac:dyDescent="0.35">
      <c r="A188" s="60" t="s">
        <v>72</v>
      </c>
      <c r="B188">
        <v>0</v>
      </c>
      <c r="C188" s="60">
        <v>2010</v>
      </c>
    </row>
    <row r="189" spans="1:3" x14ac:dyDescent="0.35">
      <c r="A189" s="60" t="s">
        <v>79</v>
      </c>
      <c r="B189">
        <v>0</v>
      </c>
      <c r="C189" s="60">
        <v>2010</v>
      </c>
    </row>
    <row r="190" spans="1:3" x14ac:dyDescent="0.35">
      <c r="A190" s="60" t="s">
        <v>121</v>
      </c>
      <c r="B190">
        <v>0</v>
      </c>
      <c r="C190" s="60">
        <v>2010</v>
      </c>
    </row>
    <row r="191" spans="1:3" x14ac:dyDescent="0.35">
      <c r="A191" s="60" t="s">
        <v>85</v>
      </c>
      <c r="B191">
        <v>0</v>
      </c>
      <c r="C191" s="60">
        <v>2010</v>
      </c>
    </row>
    <row r="192" spans="1:3" x14ac:dyDescent="0.35">
      <c r="A192" s="60" t="s">
        <v>54</v>
      </c>
      <c r="B192">
        <v>0</v>
      </c>
      <c r="C192">
        <v>2014</v>
      </c>
    </row>
    <row r="193" spans="1:3" x14ac:dyDescent="0.35">
      <c r="A193" s="60" t="s">
        <v>31</v>
      </c>
      <c r="B193">
        <v>0.76895424145547664</v>
      </c>
      <c r="C193" s="60">
        <v>2014</v>
      </c>
    </row>
    <row r="194" spans="1:3" x14ac:dyDescent="0.35">
      <c r="A194" s="60" t="s">
        <v>97</v>
      </c>
      <c r="B194">
        <v>0</v>
      </c>
      <c r="C194" s="60">
        <v>2014</v>
      </c>
    </row>
    <row r="195" spans="1:3" x14ac:dyDescent="0.35">
      <c r="A195" s="60" t="s">
        <v>23</v>
      </c>
      <c r="B195">
        <v>1.623337094064268</v>
      </c>
      <c r="C195" s="60">
        <v>2014</v>
      </c>
    </row>
    <row r="196" spans="1:3" x14ac:dyDescent="0.35">
      <c r="A196" s="60" t="s">
        <v>32</v>
      </c>
      <c r="B196">
        <v>0</v>
      </c>
      <c r="C196" s="60">
        <v>2014</v>
      </c>
    </row>
    <row r="197" spans="1:3" x14ac:dyDescent="0.35">
      <c r="A197" s="60" t="s">
        <v>260</v>
      </c>
      <c r="B197">
        <v>0</v>
      </c>
      <c r="C197" s="60">
        <v>2014</v>
      </c>
    </row>
    <row r="198" spans="1:3" x14ac:dyDescent="0.35">
      <c r="A198" s="60" t="s">
        <v>103</v>
      </c>
      <c r="B198">
        <v>0</v>
      </c>
      <c r="C198" s="60">
        <v>2014</v>
      </c>
    </row>
    <row r="199" spans="1:3" x14ac:dyDescent="0.35">
      <c r="A199" s="60" t="s">
        <v>193</v>
      </c>
      <c r="B199">
        <v>0</v>
      </c>
      <c r="C199" s="60">
        <v>2014</v>
      </c>
    </row>
    <row r="200" spans="1:3" x14ac:dyDescent="0.35">
      <c r="A200" s="60" t="s">
        <v>75</v>
      </c>
      <c r="B200">
        <v>0</v>
      </c>
      <c r="C200" s="60">
        <v>2014</v>
      </c>
    </row>
    <row r="201" spans="1:3" x14ac:dyDescent="0.35">
      <c r="A201" s="60" t="s">
        <v>4</v>
      </c>
      <c r="B201">
        <v>0.60647043305021275</v>
      </c>
      <c r="C201" s="60">
        <v>2014</v>
      </c>
    </row>
    <row r="202" spans="1:3" x14ac:dyDescent="0.35">
      <c r="A202" s="60" t="s">
        <v>88</v>
      </c>
      <c r="B202">
        <v>2.6519571443725471</v>
      </c>
      <c r="C202" s="60">
        <v>2014</v>
      </c>
    </row>
    <row r="203" spans="1:3" x14ac:dyDescent="0.35">
      <c r="A203" s="60" t="s">
        <v>55</v>
      </c>
      <c r="B203">
        <v>1.8259837487446362</v>
      </c>
      <c r="C203" s="60">
        <v>2014</v>
      </c>
    </row>
    <row r="204" spans="1:3" x14ac:dyDescent="0.35">
      <c r="A204" s="60" t="s">
        <v>161</v>
      </c>
      <c r="B204">
        <v>0</v>
      </c>
      <c r="C204" s="60">
        <v>2014</v>
      </c>
    </row>
    <row r="205" spans="1:3" x14ac:dyDescent="0.35">
      <c r="A205" s="60" t="s">
        <v>136</v>
      </c>
      <c r="B205">
        <v>0</v>
      </c>
      <c r="C205" s="60">
        <v>2014</v>
      </c>
    </row>
    <row r="206" spans="1:3" x14ac:dyDescent="0.35">
      <c r="A206" s="60" t="s">
        <v>3</v>
      </c>
      <c r="B206">
        <v>1.601563125610596</v>
      </c>
      <c r="C206" s="60">
        <v>2014</v>
      </c>
    </row>
    <row r="207" spans="1:3" x14ac:dyDescent="0.35">
      <c r="A207" s="60" t="s">
        <v>72</v>
      </c>
      <c r="B207">
        <v>0</v>
      </c>
      <c r="C207" s="60">
        <v>2014</v>
      </c>
    </row>
    <row r="208" spans="1:3" x14ac:dyDescent="0.35">
      <c r="A208" s="60" t="s">
        <v>79</v>
      </c>
      <c r="B208">
        <v>0</v>
      </c>
      <c r="C208" s="60">
        <v>2014</v>
      </c>
    </row>
    <row r="209" spans="1:3" x14ac:dyDescent="0.35">
      <c r="A209" s="60" t="s">
        <v>121</v>
      </c>
      <c r="B209">
        <v>0</v>
      </c>
      <c r="C209" s="60">
        <v>2014</v>
      </c>
    </row>
    <row r="210" spans="1:3" x14ac:dyDescent="0.35">
      <c r="A210" s="60" t="s">
        <v>85</v>
      </c>
      <c r="B210">
        <v>0</v>
      </c>
      <c r="C210" s="60">
        <v>2014</v>
      </c>
    </row>
    <row r="211" spans="1:3" x14ac:dyDescent="0.35">
      <c r="A211" s="60" t="s">
        <v>54</v>
      </c>
      <c r="B211">
        <v>0</v>
      </c>
      <c r="C211">
        <v>2018</v>
      </c>
    </row>
    <row r="212" spans="1:3" x14ac:dyDescent="0.35">
      <c r="A212" s="60" t="s">
        <v>31</v>
      </c>
      <c r="B212">
        <v>0.49264319495533371</v>
      </c>
      <c r="C212" s="60">
        <v>2018</v>
      </c>
    </row>
    <row r="213" spans="1:3" x14ac:dyDescent="0.35">
      <c r="A213" s="60" t="s">
        <v>97</v>
      </c>
      <c r="B213">
        <v>0</v>
      </c>
      <c r="C213" s="60">
        <v>2018</v>
      </c>
    </row>
    <row r="214" spans="1:3" x14ac:dyDescent="0.35">
      <c r="A214" s="60" t="s">
        <v>23</v>
      </c>
      <c r="B214">
        <v>2.2098308006216989</v>
      </c>
      <c r="C214" s="60">
        <v>2018</v>
      </c>
    </row>
    <row r="215" spans="1:3" x14ac:dyDescent="0.35">
      <c r="A215" s="60" t="s">
        <v>32</v>
      </c>
      <c r="B215">
        <v>0</v>
      </c>
      <c r="C215" s="60">
        <v>2018</v>
      </c>
    </row>
    <row r="216" spans="1:3" x14ac:dyDescent="0.35">
      <c r="A216" s="60" t="s">
        <v>260</v>
      </c>
      <c r="B216">
        <v>0</v>
      </c>
      <c r="C216" s="60">
        <v>2018</v>
      </c>
    </row>
    <row r="217" spans="1:3" x14ac:dyDescent="0.35">
      <c r="A217" s="60" t="s">
        <v>103</v>
      </c>
      <c r="B217">
        <v>0</v>
      </c>
      <c r="C217" s="60">
        <v>2018</v>
      </c>
    </row>
    <row r="218" spans="1:3" x14ac:dyDescent="0.35">
      <c r="A218" s="60" t="s">
        <v>193</v>
      </c>
      <c r="B218">
        <v>0</v>
      </c>
      <c r="C218" s="60">
        <v>2018</v>
      </c>
    </row>
    <row r="219" spans="1:3" x14ac:dyDescent="0.35">
      <c r="A219" s="60" t="s">
        <v>75</v>
      </c>
      <c r="B219">
        <v>0.93916996158794852</v>
      </c>
      <c r="C219" s="60">
        <v>2018</v>
      </c>
    </row>
    <row r="220" spans="1:3" x14ac:dyDescent="0.35">
      <c r="A220" s="60" t="s">
        <v>4</v>
      </c>
      <c r="B220">
        <v>0.69086166569818097</v>
      </c>
      <c r="C220" s="60">
        <v>2018</v>
      </c>
    </row>
    <row r="221" spans="1:3" x14ac:dyDescent="0.35">
      <c r="A221" s="60" t="s">
        <v>88</v>
      </c>
      <c r="B221">
        <v>0.82076199543656325</v>
      </c>
      <c r="C221" s="60">
        <v>2018</v>
      </c>
    </row>
    <row r="222" spans="1:3" x14ac:dyDescent="0.35">
      <c r="A222" s="60" t="s">
        <v>55</v>
      </c>
      <c r="B222">
        <v>3.488088178869162</v>
      </c>
      <c r="C222" s="60">
        <v>2018</v>
      </c>
    </row>
    <row r="223" spans="1:3" x14ac:dyDescent="0.35">
      <c r="A223" s="60" t="s">
        <v>161</v>
      </c>
      <c r="B223">
        <v>0</v>
      </c>
      <c r="C223" s="60">
        <v>2018</v>
      </c>
    </row>
    <row r="224" spans="1:3" x14ac:dyDescent="0.35">
      <c r="A224" s="60" t="s">
        <v>136</v>
      </c>
      <c r="B224">
        <v>0</v>
      </c>
      <c r="C224" s="60">
        <v>2018</v>
      </c>
    </row>
    <row r="225" spans="1:3" x14ac:dyDescent="0.35">
      <c r="A225" s="60" t="s">
        <v>3</v>
      </c>
      <c r="B225">
        <v>2.2027240353904327</v>
      </c>
      <c r="C225" s="60">
        <v>2018</v>
      </c>
    </row>
    <row r="226" spans="1:3" x14ac:dyDescent="0.35">
      <c r="A226" s="60" t="s">
        <v>72</v>
      </c>
      <c r="B226">
        <v>0</v>
      </c>
      <c r="C226" s="60">
        <v>2018</v>
      </c>
    </row>
    <row r="227" spans="1:3" x14ac:dyDescent="0.35">
      <c r="A227" s="60" t="s">
        <v>79</v>
      </c>
      <c r="B227">
        <v>0</v>
      </c>
      <c r="C227" s="60">
        <v>2018</v>
      </c>
    </row>
    <row r="228" spans="1:3" x14ac:dyDescent="0.35">
      <c r="A228" s="60" t="s">
        <v>121</v>
      </c>
      <c r="B228">
        <v>0</v>
      </c>
      <c r="C228" s="60">
        <v>2018</v>
      </c>
    </row>
    <row r="229" spans="1:3" x14ac:dyDescent="0.35">
      <c r="A229" s="60" t="s">
        <v>85</v>
      </c>
      <c r="B229">
        <v>0</v>
      </c>
      <c r="C229" s="60">
        <v>2018</v>
      </c>
    </row>
    <row r="230" spans="1:3" x14ac:dyDescent="0.35">
      <c r="A230" s="60" t="s">
        <v>54</v>
      </c>
      <c r="B230">
        <v>1.2905224034689242</v>
      </c>
      <c r="C230">
        <v>2022</v>
      </c>
    </row>
    <row r="231" spans="1:3" x14ac:dyDescent="0.35">
      <c r="A231" s="60" t="s">
        <v>31</v>
      </c>
      <c r="B231">
        <v>0.65685759327377824</v>
      </c>
      <c r="C231" s="60">
        <v>2022</v>
      </c>
    </row>
    <row r="232" spans="1:3" x14ac:dyDescent="0.35">
      <c r="A232" s="60" t="s">
        <v>97</v>
      </c>
      <c r="B232">
        <v>0</v>
      </c>
      <c r="C232" s="60">
        <v>2022</v>
      </c>
    </row>
    <row r="233" spans="1:3" x14ac:dyDescent="0.35">
      <c r="A233" s="60" t="s">
        <v>23</v>
      </c>
      <c r="B233">
        <v>2.2098308006216989</v>
      </c>
      <c r="C233" s="60">
        <v>2022</v>
      </c>
    </row>
    <row r="234" spans="1:3" x14ac:dyDescent="0.35">
      <c r="A234" s="60" t="s">
        <v>32</v>
      </c>
      <c r="B234">
        <v>0</v>
      </c>
      <c r="C234" s="60">
        <v>2022</v>
      </c>
    </row>
    <row r="235" spans="1:3" x14ac:dyDescent="0.35">
      <c r="A235" s="60" t="s">
        <v>260</v>
      </c>
      <c r="B235">
        <v>0</v>
      </c>
      <c r="C235" s="60">
        <v>2022</v>
      </c>
    </row>
    <row r="236" spans="1:3" x14ac:dyDescent="0.35">
      <c r="A236" s="60" t="s">
        <v>103</v>
      </c>
      <c r="B236">
        <v>0</v>
      </c>
      <c r="C236" s="60">
        <v>2022</v>
      </c>
    </row>
    <row r="237" spans="1:3" x14ac:dyDescent="0.35">
      <c r="A237" s="60" t="s">
        <v>193</v>
      </c>
      <c r="B237">
        <v>0</v>
      </c>
      <c r="C237" s="60">
        <v>2022</v>
      </c>
    </row>
    <row r="238" spans="1:3" x14ac:dyDescent="0.35">
      <c r="A238" s="60" t="s">
        <v>75</v>
      </c>
      <c r="B238">
        <v>0</v>
      </c>
      <c r="C238" s="60">
        <v>2022</v>
      </c>
    </row>
    <row r="239" spans="1:3" x14ac:dyDescent="0.35">
      <c r="A239" s="60" t="s">
        <v>4</v>
      </c>
      <c r="B239">
        <v>0.84438648029777674</v>
      </c>
      <c r="C239" s="60">
        <v>2022</v>
      </c>
    </row>
    <row r="240" spans="1:3" x14ac:dyDescent="0.35">
      <c r="A240" s="60" t="s">
        <v>88</v>
      </c>
      <c r="B240">
        <v>0.82076199543656325</v>
      </c>
      <c r="C240" s="60">
        <v>2022</v>
      </c>
    </row>
    <row r="241" spans="1:3" x14ac:dyDescent="0.35">
      <c r="A241" s="60" t="s">
        <v>55</v>
      </c>
      <c r="B241">
        <v>3.488088178869162</v>
      </c>
      <c r="C241" s="60">
        <v>2022</v>
      </c>
    </row>
    <row r="242" spans="1:3" x14ac:dyDescent="0.35">
      <c r="A242" s="60" t="s">
        <v>161</v>
      </c>
      <c r="B242">
        <v>0.9149214539931747</v>
      </c>
      <c r="C242" s="60">
        <v>2022</v>
      </c>
    </row>
    <row r="243" spans="1:3" x14ac:dyDescent="0.35">
      <c r="A243" s="60" t="s">
        <v>136</v>
      </c>
      <c r="B243">
        <v>0</v>
      </c>
      <c r="C243" s="60">
        <v>2022</v>
      </c>
    </row>
    <row r="244" spans="1:3" x14ac:dyDescent="0.35">
      <c r="A244" s="60" t="s">
        <v>3</v>
      </c>
      <c r="B244">
        <v>1.4684826902602885</v>
      </c>
      <c r="C244" s="60">
        <v>2022</v>
      </c>
    </row>
    <row r="245" spans="1:3" x14ac:dyDescent="0.35">
      <c r="A245" s="60" t="s">
        <v>72</v>
      </c>
      <c r="B245">
        <v>0</v>
      </c>
      <c r="C245" s="60">
        <v>2022</v>
      </c>
    </row>
    <row r="246" spans="1:3" x14ac:dyDescent="0.35">
      <c r="A246" s="60" t="s">
        <v>79</v>
      </c>
      <c r="B246">
        <v>0</v>
      </c>
      <c r="C246" s="60">
        <v>2022</v>
      </c>
    </row>
    <row r="247" spans="1:3" x14ac:dyDescent="0.35">
      <c r="A247" s="60" t="s">
        <v>121</v>
      </c>
      <c r="B247">
        <v>0</v>
      </c>
      <c r="C247" s="60">
        <v>2022</v>
      </c>
    </row>
    <row r="248" spans="1:3" x14ac:dyDescent="0.35">
      <c r="A248" s="60" t="s">
        <v>85</v>
      </c>
      <c r="B248">
        <v>0</v>
      </c>
      <c r="C248" s="60">
        <v>2022</v>
      </c>
    </row>
    <row r="249" spans="1:3" x14ac:dyDescent="0.35">
      <c r="A249" s="60" t="s">
        <v>54</v>
      </c>
      <c r="C249">
        <v>2030</v>
      </c>
    </row>
    <row r="250" spans="1:3" x14ac:dyDescent="0.35">
      <c r="A250" s="60" t="s">
        <v>31</v>
      </c>
      <c r="C250" s="60">
        <v>2030</v>
      </c>
    </row>
    <row r="251" spans="1:3" x14ac:dyDescent="0.35">
      <c r="A251" s="60" t="s">
        <v>97</v>
      </c>
      <c r="C251" s="60">
        <v>2030</v>
      </c>
    </row>
    <row r="252" spans="1:3" x14ac:dyDescent="0.35">
      <c r="A252" s="60" t="s">
        <v>23</v>
      </c>
      <c r="C252" s="60">
        <v>2030</v>
      </c>
    </row>
    <row r="253" spans="1:3" x14ac:dyDescent="0.35">
      <c r="A253" s="60" t="s">
        <v>32</v>
      </c>
      <c r="C253" s="60">
        <v>2030</v>
      </c>
    </row>
    <row r="254" spans="1:3" x14ac:dyDescent="0.35">
      <c r="A254" s="60" t="s">
        <v>260</v>
      </c>
      <c r="C254" s="60">
        <v>2030</v>
      </c>
    </row>
    <row r="255" spans="1:3" x14ac:dyDescent="0.35">
      <c r="A255" s="60" t="s">
        <v>103</v>
      </c>
      <c r="C255" s="60">
        <v>2030</v>
      </c>
    </row>
    <row r="256" spans="1:3" x14ac:dyDescent="0.35">
      <c r="A256" s="60" t="s">
        <v>193</v>
      </c>
      <c r="C256" s="60">
        <v>2030</v>
      </c>
    </row>
    <row r="257" spans="1:3" x14ac:dyDescent="0.35">
      <c r="A257" s="60" t="s">
        <v>75</v>
      </c>
      <c r="C257" s="60">
        <v>2030</v>
      </c>
    </row>
    <row r="258" spans="1:3" x14ac:dyDescent="0.35">
      <c r="A258" s="60" t="s">
        <v>4</v>
      </c>
      <c r="C258" s="60">
        <v>2030</v>
      </c>
    </row>
    <row r="259" spans="1:3" x14ac:dyDescent="0.35">
      <c r="A259" s="60" t="s">
        <v>88</v>
      </c>
      <c r="C259" s="60">
        <v>2030</v>
      </c>
    </row>
    <row r="260" spans="1:3" x14ac:dyDescent="0.35">
      <c r="A260" s="60" t="s">
        <v>55</v>
      </c>
      <c r="C260" s="60">
        <v>2030</v>
      </c>
    </row>
    <row r="261" spans="1:3" x14ac:dyDescent="0.35">
      <c r="A261" s="60" t="s">
        <v>161</v>
      </c>
      <c r="C261" s="60">
        <v>2030</v>
      </c>
    </row>
    <row r="262" spans="1:3" x14ac:dyDescent="0.35">
      <c r="A262" s="60" t="s">
        <v>136</v>
      </c>
      <c r="C262" s="60">
        <v>2030</v>
      </c>
    </row>
    <row r="263" spans="1:3" x14ac:dyDescent="0.35">
      <c r="A263" s="60" t="s">
        <v>3</v>
      </c>
      <c r="C263" s="60">
        <v>2030</v>
      </c>
    </row>
    <row r="264" spans="1:3" x14ac:dyDescent="0.35">
      <c r="A264" s="60" t="s">
        <v>72</v>
      </c>
      <c r="C264" s="60">
        <v>2030</v>
      </c>
    </row>
    <row r="265" spans="1:3" x14ac:dyDescent="0.35">
      <c r="A265" s="60" t="s">
        <v>79</v>
      </c>
      <c r="C265" s="60">
        <v>2030</v>
      </c>
    </row>
    <row r="266" spans="1:3" x14ac:dyDescent="0.35">
      <c r="A266" s="60" t="s">
        <v>121</v>
      </c>
      <c r="C266" s="60">
        <v>2030</v>
      </c>
    </row>
    <row r="267" spans="1:3" x14ac:dyDescent="0.35">
      <c r="A267" s="60" t="s">
        <v>85</v>
      </c>
      <c r="C267" s="60">
        <v>2030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95A3-7987-45C6-8B0B-C7E938C75515}">
  <dimension ref="A1:C20"/>
  <sheetViews>
    <sheetView workbookViewId="0">
      <selection activeCell="D21" sqref="D21"/>
    </sheetView>
  </sheetViews>
  <sheetFormatPr baseColWidth="10" defaultRowHeight="14.5" x14ac:dyDescent="0.35"/>
  <cols>
    <col min="1" max="1" width="12.08984375" bestFit="1" customWidth="1"/>
  </cols>
  <sheetData>
    <row r="1" spans="1:3" x14ac:dyDescent="0.35">
      <c r="A1" t="s">
        <v>293</v>
      </c>
      <c r="B1" t="s">
        <v>296</v>
      </c>
      <c r="C1" s="60" t="s">
        <v>295</v>
      </c>
    </row>
    <row r="2" spans="1:3" x14ac:dyDescent="0.35">
      <c r="A2" s="60" t="s">
        <v>54</v>
      </c>
      <c r="B2" s="61">
        <v>77069.041843416344</v>
      </c>
      <c r="C2">
        <v>2030</v>
      </c>
    </row>
    <row r="3" spans="1:3" x14ac:dyDescent="0.35">
      <c r="A3" s="60" t="s">
        <v>31</v>
      </c>
      <c r="B3" s="61">
        <v>635618.60674156109</v>
      </c>
      <c r="C3" s="60">
        <v>2030</v>
      </c>
    </row>
    <row r="4" spans="1:3" x14ac:dyDescent="0.35">
      <c r="A4" s="60" t="s">
        <v>97</v>
      </c>
      <c r="B4" s="61">
        <v>89700.334329417426</v>
      </c>
      <c r="C4" s="60">
        <v>2030</v>
      </c>
    </row>
    <row r="5" spans="1:3" x14ac:dyDescent="0.35">
      <c r="A5" s="60" t="s">
        <v>23</v>
      </c>
      <c r="B5" s="61">
        <v>135706.48394172452</v>
      </c>
      <c r="C5" s="60">
        <v>2030</v>
      </c>
    </row>
    <row r="6" spans="1:3" x14ac:dyDescent="0.35">
      <c r="A6" s="60" t="s">
        <v>32</v>
      </c>
      <c r="B6" s="61">
        <v>61721.451728121217</v>
      </c>
      <c r="C6" s="60">
        <v>2030</v>
      </c>
    </row>
    <row r="7" spans="1:3" x14ac:dyDescent="0.35">
      <c r="A7" s="60" t="s">
        <v>260</v>
      </c>
      <c r="B7" s="61">
        <v>25659.393626969922</v>
      </c>
      <c r="C7" s="60">
        <v>2030</v>
      </c>
    </row>
    <row r="8" spans="1:3" x14ac:dyDescent="0.35">
      <c r="A8" s="60" t="s">
        <v>103</v>
      </c>
      <c r="B8" s="61">
        <v>69719.000031458796</v>
      </c>
      <c r="C8" s="60">
        <v>2030</v>
      </c>
    </row>
    <row r="9" spans="1:3" x14ac:dyDescent="0.35">
      <c r="A9" s="60" t="s">
        <v>193</v>
      </c>
      <c r="B9" s="61">
        <v>57155.870965143469</v>
      </c>
      <c r="C9" s="60">
        <v>2030</v>
      </c>
    </row>
    <row r="10" spans="1:3" x14ac:dyDescent="0.35">
      <c r="A10" s="60" t="s">
        <v>75</v>
      </c>
      <c r="B10" s="61">
        <v>225052.44643362059</v>
      </c>
      <c r="C10" s="60">
        <v>2030</v>
      </c>
    </row>
    <row r="11" spans="1:3" x14ac:dyDescent="0.35">
      <c r="A11" s="60" t="s">
        <v>4</v>
      </c>
      <c r="B11" s="61">
        <v>1242210.3267990681</v>
      </c>
      <c r="C11" s="60">
        <v>2030</v>
      </c>
    </row>
    <row r="12" spans="1:3" x14ac:dyDescent="0.35">
      <c r="A12" s="60" t="s">
        <v>88</v>
      </c>
      <c r="B12" s="61">
        <v>120988.51168791682</v>
      </c>
      <c r="C12" s="60">
        <v>2030</v>
      </c>
    </row>
    <row r="13" spans="1:3" x14ac:dyDescent="0.35">
      <c r="A13" s="60" t="s">
        <v>55</v>
      </c>
      <c r="B13" s="61">
        <v>56686.550123166307</v>
      </c>
      <c r="C13" s="60">
        <v>2030</v>
      </c>
    </row>
    <row r="14" spans="1:3" x14ac:dyDescent="0.35">
      <c r="A14" s="60" t="s">
        <v>161</v>
      </c>
      <c r="B14" s="61">
        <v>108955.55858684455</v>
      </c>
      <c r="C14" s="60">
        <v>2030</v>
      </c>
    </row>
    <row r="15" spans="1:3" x14ac:dyDescent="0.35">
      <c r="A15" s="60" t="s">
        <v>136</v>
      </c>
      <c r="B15" s="61">
        <v>81513.319812080153</v>
      </c>
      <c r="C15" s="60">
        <v>2030</v>
      </c>
    </row>
    <row r="16" spans="1:3" x14ac:dyDescent="0.35">
      <c r="A16" s="60" t="s">
        <v>3</v>
      </c>
      <c r="B16" s="61">
        <v>135860.05550941941</v>
      </c>
      <c r="C16" s="60">
        <v>2030</v>
      </c>
    </row>
    <row r="17" spans="1:3" x14ac:dyDescent="0.35">
      <c r="A17" s="60" t="s">
        <v>72</v>
      </c>
      <c r="B17" s="61">
        <v>121063.2390550929</v>
      </c>
      <c r="C17" s="60">
        <v>2030</v>
      </c>
    </row>
    <row r="18" spans="1:3" x14ac:dyDescent="0.35">
      <c r="A18" s="60" t="s">
        <v>79</v>
      </c>
      <c r="B18" s="61">
        <v>81260.506993390081</v>
      </c>
      <c r="C18" s="60">
        <v>2030</v>
      </c>
    </row>
    <row r="19" spans="1:3" x14ac:dyDescent="0.35">
      <c r="A19" s="60" t="s">
        <v>121</v>
      </c>
      <c r="B19" s="61">
        <v>95043.70211343313</v>
      </c>
      <c r="C19" s="60">
        <v>2030</v>
      </c>
    </row>
    <row r="20" spans="1:3" x14ac:dyDescent="0.35">
      <c r="A20" s="60" t="s">
        <v>85</v>
      </c>
      <c r="B20" s="61">
        <v>45481.694822970661</v>
      </c>
      <c r="C20" s="60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Futbolistas</vt:lpstr>
      <vt:lpstr>Población</vt:lpstr>
      <vt:lpstr>Cantidad por departamento</vt:lpstr>
      <vt:lpstr>Hoja1</vt:lpstr>
      <vt:lpstr>Prop100K_hab</vt:lpstr>
      <vt:lpstr>Extranjeros</vt:lpstr>
      <vt:lpstr>Long</vt:lpstr>
      <vt:lpstr>Proyeccion2030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Sorensen</dc:creator>
  <cp:lastModifiedBy>German Botto Nuñez</cp:lastModifiedBy>
  <dcterms:created xsi:type="dcterms:W3CDTF">2026-05-27T10:56:15Z</dcterms:created>
  <dcterms:modified xsi:type="dcterms:W3CDTF">2026-06-08T01:52:09Z</dcterms:modified>
</cp:coreProperties>
</file>